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Mrcserver01\mercedania\Design &amp; Mercado Livre\1. Mercado Livre\5. Planilha de controle\"/>
    </mc:Choice>
  </mc:AlternateContent>
  <xr:revisionPtr revIDLastSave="0" documentId="13_ncr:1_{1A4296D4-986B-4555-8B46-6E5B59FE0C8A}" xr6:coauthVersionLast="36" xr6:coauthVersionMax="47" xr10:uidLastSave="{00000000-0000-0000-0000-000000000000}"/>
  <bookViews>
    <workbookView xWindow="0" yWindow="0" windowWidth="28800" windowHeight="12105" xr2:uid="{9AB8A1F8-F595-4DFF-9BAD-5741B0F3DA37}"/>
  </bookViews>
  <sheets>
    <sheet name="Resumo" sheetId="12" r:id="rId1"/>
    <sheet name="Central de Promoções" sheetId="1" r:id="rId2"/>
    <sheet name="Precificação de produto" sheetId="9" r:id="rId3"/>
    <sheet name="Vendas" sheetId="14" r:id="rId4"/>
    <sheet name="Simulador de custos" sheetId="13" r:id="rId5"/>
  </sheets>
  <functionGroups builtInGroupCount="19"/>
  <definedNames>
    <definedName name="_xlcn.WorksheetConnection_CentraldePromoçõesMercadoLivre.xlsxDescontos1" hidden="1">Descontos[]</definedName>
    <definedName name="_xlcn.WorksheetConnection_CentraldePromoçõesMercadoLivre.xlsxPrecificação1" hidden="1">Precificação[]</definedName>
    <definedName name="_xlcn.WorksheetConnection_GestãodeAnúncioMercadoLivre.xlsxVendas1" hidden="1">Vendas[]</definedName>
    <definedName name="TESTE">Resumo!$K$22</definedName>
  </definedNames>
  <calcPr calcId="191029"/>
  <pivotCaches>
    <pivotCache cacheId="0" r:id="rId6"/>
  </pivotCaches>
  <extLst>
    <ext xmlns:x15="http://schemas.microsoft.com/office/spreadsheetml/2010/11/main" uri="{841E416B-1EF1-43b6-AB56-02D37102CBD5}">
      <x15:pivotCaches>
        <pivotCache cacheId="1" r:id="rId7"/>
      </x15:pivotCaches>
    </ext>
    <ext xmlns:x15="http://schemas.microsoft.com/office/spreadsheetml/2010/11/main" uri="{983426D0-5260-488c-9760-48F4B6AC55F4}">
      <x15:pivotTableReferences>
        <x15:pivotTableReference r:id="rId8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das" name="Vendas" connection="WorksheetConnection_Gestão de Anúncio - Mercado Livre.xlsx!Vendas"/>
          <x15:modelTable id="Precificação" name="Precificação" connection="WorksheetConnection_Central de Promoções - Mercado Livre.xlsx!Precificação"/>
          <x15:modelTable id="Descontos" name="Descontos" connection="WorksheetConnection_Central de Promoções - Mercado Livre.xlsx!Descontos"/>
        </x15:modelTables>
        <x15:modelRelationships>
          <x15:modelRelationship fromTable="Precificação" fromColumn="Nome" toTable="Descontos" toColumn="Nom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Vendas" columnName="Data da Compra" columnId="Data da Compra">
                <x16:calculatedTimeColumn columnName="Data da Compra (Ano)" columnId="Data da Compra (Ano)" contentType="years" isSelected="1"/>
                <x16:calculatedTimeColumn columnName="Data da Compra (Trimestre)" columnId="Data da Compra (Trimestre)" contentType="quarters" isSelected="1"/>
                <x16:calculatedTimeColumn columnName="Data da Compra (Índice de Mês)" columnId="Data da Compra (Índice de Mês)" contentType="monthsindex" isSelected="1"/>
                <x16:calculatedTimeColumn columnName="Data da Compra (Mês)" columnId="Data da Compra (Mês)" contentType="months" isSelected="1"/>
              </x16:modelTimeGrouping>
            </x16:modelTimeGroupings>
          </ext>
        </x15:extLst>
      </x15:dataModel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4" i="1" l="1"/>
  <c r="I4" i="1"/>
  <c r="G4" i="1"/>
  <c r="A4" i="1"/>
  <c r="K4" i="9"/>
  <c r="I4" i="9" s="1"/>
  <c r="M4" i="9"/>
  <c r="H4" i="1"/>
  <c r="L4" i="9" l="1"/>
  <c r="J5" i="1"/>
  <c r="G5" i="1"/>
  <c r="A5" i="1"/>
  <c r="K5" i="9"/>
  <c r="I5" i="1" s="1"/>
  <c r="M5" i="9"/>
  <c r="H5" i="1"/>
  <c r="I5" i="9" l="1"/>
  <c r="L5" i="9" s="1"/>
  <c r="U3" i="14"/>
  <c r="U4" i="14" l="1"/>
  <c r="U5" i="14" l="1"/>
  <c r="U6" i="14"/>
  <c r="U7" i="14"/>
  <c r="J6" i="1" l="1"/>
  <c r="G6" i="1"/>
  <c r="A6" i="1"/>
  <c r="K6" i="9"/>
  <c r="I6" i="1" s="1"/>
  <c r="M6" i="9"/>
  <c r="J7" i="1"/>
  <c r="G7" i="1"/>
  <c r="A7" i="1"/>
  <c r="K7" i="9"/>
  <c r="M7" i="9"/>
  <c r="J8" i="1"/>
  <c r="G8" i="1"/>
  <c r="A8" i="1"/>
  <c r="K8" i="9"/>
  <c r="I8" i="9"/>
  <c r="M8" i="9"/>
  <c r="H8" i="1"/>
  <c r="H7" i="1"/>
  <c r="H6" i="1"/>
  <c r="L8" i="9" l="1"/>
  <c r="I7" i="1"/>
  <c r="I6" i="9"/>
  <c r="L6" i="9" s="1"/>
  <c r="I7" i="9"/>
  <c r="L7" i="9" s="1"/>
  <c r="I8" i="1"/>
  <c r="U8" i="14"/>
  <c r="U9" i="14" l="1"/>
  <c r="U10" i="14" l="1"/>
  <c r="U11" i="14"/>
  <c r="U12" i="14"/>
  <c r="U13" i="14"/>
  <c r="U14" i="14"/>
  <c r="U15" i="14"/>
  <c r="U16" i="14" l="1"/>
  <c r="G9" i="1"/>
  <c r="G29" i="1"/>
  <c r="U17" i="14"/>
  <c r="U18" i="14"/>
  <c r="U19" i="14"/>
  <c r="U20" i="14" l="1"/>
  <c r="J9" i="1" l="1"/>
  <c r="A9" i="1"/>
  <c r="K9" i="9"/>
  <c r="I9" i="1" s="1"/>
  <c r="M9" i="9"/>
  <c r="H9" i="1"/>
  <c r="I9" i="9" l="1"/>
  <c r="L9" i="9" s="1"/>
  <c r="G10" i="1"/>
  <c r="J10" i="1"/>
  <c r="A10" i="1"/>
  <c r="K10" i="9"/>
  <c r="I10" i="1" s="1"/>
  <c r="I10" i="9"/>
  <c r="M10" i="9"/>
  <c r="H10" i="1"/>
  <c r="L10" i="9" l="1"/>
  <c r="U21" i="14"/>
  <c r="U22" i="14" l="1"/>
  <c r="U23" i="14"/>
  <c r="U24" i="14" l="1"/>
  <c r="U25" i="14"/>
  <c r="U26" i="14"/>
  <c r="U27" i="14"/>
  <c r="U28" i="14"/>
  <c r="U29" i="14"/>
  <c r="U30" i="14"/>
  <c r="U31" i="14"/>
  <c r="C2" i="12"/>
  <c r="J12" i="13" l="1"/>
  <c r="I38" i="9" l="1"/>
  <c r="I39" i="9"/>
  <c r="I40" i="9"/>
  <c r="I41" i="9"/>
  <c r="I42" i="9"/>
  <c r="I43" i="9"/>
  <c r="I44" i="9"/>
  <c r="I45" i="9"/>
  <c r="I46" i="9"/>
  <c r="I47" i="9"/>
  <c r="I48" i="9"/>
  <c r="I51" i="9"/>
  <c r="I53" i="9"/>
  <c r="I54" i="9"/>
  <c r="I56" i="9"/>
  <c r="I57" i="9"/>
  <c r="I58" i="9"/>
  <c r="I59" i="9"/>
  <c r="I60" i="9"/>
  <c r="I62" i="9"/>
  <c r="I63" i="9"/>
  <c r="I64" i="9"/>
  <c r="I65" i="9"/>
  <c r="I66" i="9"/>
  <c r="I67" i="9"/>
  <c r="I68" i="9"/>
  <c r="I69" i="9"/>
  <c r="I70" i="9"/>
  <c r="I72" i="9"/>
  <c r="I73" i="9"/>
  <c r="I75" i="9"/>
  <c r="I76" i="9"/>
  <c r="I77" i="9"/>
  <c r="I81" i="9"/>
  <c r="I82" i="9"/>
  <c r="I83" i="9"/>
  <c r="I84" i="9"/>
  <c r="I85" i="9"/>
  <c r="I86" i="9"/>
  <c r="I87" i="9"/>
  <c r="I91" i="9"/>
  <c r="I92" i="9"/>
  <c r="I93" i="9"/>
  <c r="I95" i="9"/>
  <c r="I96" i="9"/>
  <c r="I97" i="9"/>
  <c r="I98" i="9"/>
  <c r="I99" i="9"/>
  <c r="I100" i="9"/>
  <c r="I101" i="9"/>
  <c r="I103" i="9"/>
  <c r="I104" i="9"/>
  <c r="I105" i="9"/>
  <c r="I108" i="9"/>
  <c r="I109" i="9"/>
  <c r="I110" i="9"/>
  <c r="I111" i="9"/>
  <c r="I114" i="9"/>
  <c r="I116" i="9"/>
  <c r="I117" i="9"/>
  <c r="I120" i="9"/>
  <c r="I121" i="9"/>
  <c r="I124" i="9"/>
  <c r="I125" i="9"/>
  <c r="I126" i="9"/>
  <c r="I127" i="9"/>
  <c r="I128" i="9"/>
  <c r="I131" i="9"/>
  <c r="I133" i="9"/>
  <c r="I135" i="9"/>
  <c r="I137" i="9"/>
  <c r="I139" i="9"/>
  <c r="I141" i="9"/>
  <c r="I142" i="9"/>
  <c r="I144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G12" i="1" l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30" i="1"/>
  <c r="G31" i="1"/>
  <c r="G32" i="1"/>
  <c r="G33" i="1"/>
  <c r="G34" i="1"/>
  <c r="G35" i="1"/>
  <c r="G36" i="1"/>
  <c r="G37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K37" i="9" l="1"/>
  <c r="I37" i="9" s="1"/>
  <c r="M37" i="9"/>
  <c r="H37" i="1"/>
  <c r="L37" i="9" l="1"/>
  <c r="I37" i="1"/>
  <c r="J11" i="1"/>
  <c r="G11" i="1"/>
  <c r="K12" i="9"/>
  <c r="K13" i="9"/>
  <c r="K14" i="9"/>
  <c r="K15" i="9"/>
  <c r="I15" i="9" s="1"/>
  <c r="K16" i="9"/>
  <c r="I16" i="9" s="1"/>
  <c r="K17" i="9"/>
  <c r="I17" i="9" s="1"/>
  <c r="K18" i="9"/>
  <c r="I18" i="9" s="1"/>
  <c r="K19" i="9"/>
  <c r="I19" i="9" s="1"/>
  <c r="K20" i="9"/>
  <c r="K21" i="9"/>
  <c r="I21" i="9" s="1"/>
  <c r="K22" i="9"/>
  <c r="I22" i="9" s="1"/>
  <c r="K23" i="9"/>
  <c r="I23" i="9" s="1"/>
  <c r="K24" i="9"/>
  <c r="I24" i="9" s="1"/>
  <c r="K25" i="9"/>
  <c r="K26" i="9"/>
  <c r="I26" i="9" s="1"/>
  <c r="K27" i="9"/>
  <c r="I27" i="9" s="1"/>
  <c r="K28" i="9"/>
  <c r="I28" i="9" s="1"/>
  <c r="K29" i="9"/>
  <c r="I29" i="9" s="1"/>
  <c r="K30" i="9"/>
  <c r="I30" i="9" s="1"/>
  <c r="K31" i="9"/>
  <c r="I31" i="9" s="1"/>
  <c r="K32" i="9"/>
  <c r="I32" i="9" s="1"/>
  <c r="K33" i="9"/>
  <c r="I33" i="9" s="1"/>
  <c r="K34" i="9"/>
  <c r="K35" i="9"/>
  <c r="K36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K11" i="9"/>
  <c r="I11" i="1" s="1"/>
  <c r="M11" i="9"/>
  <c r="H28" i="1"/>
  <c r="H29" i="1"/>
  <c r="H32" i="1"/>
  <c r="H25" i="1"/>
  <c r="H17" i="1"/>
  <c r="H23" i="1"/>
  <c r="H16" i="1"/>
  <c r="H12" i="1"/>
  <c r="H31" i="1"/>
  <c r="H21" i="1"/>
  <c r="H14" i="1"/>
  <c r="H24" i="1"/>
  <c r="H13" i="1"/>
  <c r="H18" i="1"/>
  <c r="H19" i="1"/>
  <c r="H22" i="1"/>
  <c r="H35" i="1"/>
  <c r="H27" i="1"/>
  <c r="H15" i="1"/>
  <c r="H34" i="1"/>
  <c r="H30" i="1"/>
  <c r="H26" i="1"/>
  <c r="H36" i="1"/>
  <c r="H20" i="1"/>
  <c r="H33" i="1"/>
  <c r="H11" i="1"/>
  <c r="I34" i="9" l="1"/>
  <c r="L34" i="9" s="1"/>
  <c r="I35" i="9"/>
  <c r="L35" i="9" s="1"/>
  <c r="I25" i="1"/>
  <c r="I25" i="9"/>
  <c r="L25" i="9" s="1"/>
  <c r="I20" i="1"/>
  <c r="I20" i="9"/>
  <c r="L20" i="9" s="1"/>
  <c r="I11" i="9"/>
  <c r="L11" i="9" s="1"/>
  <c r="I14" i="1"/>
  <c r="I14" i="9"/>
  <c r="L14" i="9" s="1"/>
  <c r="I13" i="1"/>
  <c r="I13" i="9"/>
  <c r="L13" i="9" s="1"/>
  <c r="I36" i="9"/>
  <c r="L36" i="9" s="1"/>
  <c r="I12" i="1"/>
  <c r="I12" i="9"/>
  <c r="L12" i="9" s="1"/>
  <c r="I26" i="1"/>
  <c r="I35" i="1"/>
  <c r="I24" i="1"/>
  <c r="I29" i="1"/>
  <c r="I31" i="1"/>
  <c r="I18" i="1"/>
  <c r="I30" i="1"/>
  <c r="I19" i="1"/>
  <c r="I34" i="1"/>
  <c r="I28" i="1"/>
  <c r="I23" i="1"/>
  <c r="I17" i="1"/>
  <c r="I33" i="1"/>
  <c r="I27" i="1"/>
  <c r="I22" i="1"/>
  <c r="I16" i="1"/>
  <c r="I32" i="1"/>
  <c r="I21" i="1"/>
  <c r="I15" i="1"/>
  <c r="L23" i="9"/>
  <c r="L33" i="9"/>
  <c r="L28" i="9"/>
  <c r="L17" i="9"/>
  <c r="L19" i="9"/>
  <c r="L31" i="9"/>
  <c r="L21" i="9"/>
  <c r="L15" i="9"/>
  <c r="L32" i="9"/>
  <c r="L30" i="9"/>
  <c r="L29" i="9"/>
  <c r="L27" i="9"/>
  <c r="L26" i="9"/>
  <c r="L24" i="9"/>
  <c r="L22" i="9"/>
  <c r="L18" i="9"/>
  <c r="L16" i="9"/>
  <c r="A50" i="1"/>
  <c r="U32" i="14" l="1"/>
  <c r="J38" i="1" l="1"/>
  <c r="G38" i="1"/>
  <c r="K38" i="9"/>
  <c r="I38" i="1" s="1"/>
  <c r="M38" i="9"/>
  <c r="H38" i="1"/>
  <c r="I36" i="1" l="1"/>
  <c r="L38" i="9"/>
  <c r="J39" i="1"/>
  <c r="G39" i="1"/>
  <c r="K39" i="9"/>
  <c r="I39" i="1" s="1"/>
  <c r="M39" i="9"/>
  <c r="H39" i="1"/>
  <c r="L39" i="9" l="1"/>
  <c r="B24" i="12"/>
  <c r="J40" i="1" l="1"/>
  <c r="G40" i="1"/>
  <c r="K40" i="9"/>
  <c r="I40" i="1" s="1"/>
  <c r="M40" i="9"/>
  <c r="H40" i="1"/>
  <c r="L40" i="9" l="1"/>
  <c r="U33" i="14"/>
  <c r="K111" i="9" l="1"/>
  <c r="M111" i="9"/>
  <c r="L111" i="9" l="1"/>
  <c r="U34" i="14"/>
  <c r="U35" i="14"/>
  <c r="U36" i="14" l="1"/>
  <c r="J41" i="1" l="1"/>
  <c r="G41" i="1"/>
  <c r="A41" i="1"/>
  <c r="K41" i="9"/>
  <c r="I41" i="1" s="1"/>
  <c r="M41" i="9"/>
  <c r="H41" i="1"/>
  <c r="L41" i="9" l="1"/>
  <c r="J42" i="1"/>
  <c r="G42" i="1"/>
  <c r="A42" i="1"/>
  <c r="K42" i="9"/>
  <c r="I42" i="1" s="1"/>
  <c r="M42" i="9"/>
  <c r="J43" i="1"/>
  <c r="G43" i="1"/>
  <c r="A43" i="1"/>
  <c r="K43" i="9"/>
  <c r="I43" i="1" s="1"/>
  <c r="M43" i="9"/>
  <c r="J44" i="1"/>
  <c r="G44" i="1"/>
  <c r="A44" i="1"/>
  <c r="K44" i="9"/>
  <c r="I44" i="1" s="1"/>
  <c r="M44" i="9"/>
  <c r="U40" i="14"/>
  <c r="H44" i="1"/>
  <c r="H43" i="1"/>
  <c r="H42" i="1"/>
  <c r="L42" i="9" l="1"/>
  <c r="L44" i="9"/>
  <c r="L43" i="9"/>
  <c r="U37" i="14"/>
  <c r="U38" i="14"/>
  <c r="J45" i="1" l="1"/>
  <c r="G45" i="1"/>
  <c r="A45" i="1"/>
  <c r="K45" i="9"/>
  <c r="M45" i="9"/>
  <c r="J46" i="1"/>
  <c r="G46" i="1"/>
  <c r="A46" i="1"/>
  <c r="K46" i="9"/>
  <c r="I46" i="1" s="1"/>
  <c r="M46" i="9"/>
  <c r="J47" i="1"/>
  <c r="G47" i="1"/>
  <c r="A47" i="1"/>
  <c r="K47" i="9"/>
  <c r="I47" i="1" s="1"/>
  <c r="M47" i="9"/>
  <c r="J48" i="1"/>
  <c r="G48" i="1"/>
  <c r="A48" i="1"/>
  <c r="K48" i="9"/>
  <c r="M48" i="9"/>
  <c r="J49" i="1"/>
  <c r="G49" i="1"/>
  <c r="A49" i="1"/>
  <c r="K49" i="9"/>
  <c r="I49" i="9" s="1"/>
  <c r="M49" i="9"/>
  <c r="H45" i="1"/>
  <c r="H48" i="1"/>
  <c r="H49" i="1"/>
  <c r="H46" i="1"/>
  <c r="H47" i="1"/>
  <c r="L45" i="9" l="1"/>
  <c r="I45" i="1"/>
  <c r="L48" i="9"/>
  <c r="I48" i="1"/>
  <c r="L46" i="9"/>
  <c r="I49" i="1"/>
  <c r="L47" i="9"/>
  <c r="L49" i="9"/>
  <c r="J50" i="1"/>
  <c r="G50" i="1"/>
  <c r="K50" i="9"/>
  <c r="M50" i="9"/>
  <c r="H50" i="1"/>
  <c r="I50" i="9" l="1"/>
  <c r="L50" i="9" s="1"/>
  <c r="I50" i="1"/>
  <c r="J51" i="1"/>
  <c r="G51" i="1"/>
  <c r="A51" i="1"/>
  <c r="K51" i="9"/>
  <c r="L51" i="9" s="1"/>
  <c r="M51" i="9"/>
  <c r="J52" i="1"/>
  <c r="G52" i="1"/>
  <c r="A52" i="1"/>
  <c r="J53" i="1"/>
  <c r="G53" i="1"/>
  <c r="A53" i="1"/>
  <c r="K53" i="9"/>
  <c r="I53" i="1" s="1"/>
  <c r="M53" i="9"/>
  <c r="K52" i="9"/>
  <c r="I52" i="9" s="1"/>
  <c r="M52" i="9"/>
  <c r="H51" i="1"/>
  <c r="H52" i="1"/>
  <c r="H53" i="1"/>
  <c r="I52" i="1" l="1"/>
  <c r="I51" i="1"/>
  <c r="L53" i="9"/>
  <c r="L52" i="9"/>
  <c r="U39" i="14"/>
  <c r="J54" i="1" l="1"/>
  <c r="G54" i="1"/>
  <c r="A54" i="1"/>
  <c r="K54" i="9"/>
  <c r="I54" i="1" s="1"/>
  <c r="M54" i="9"/>
  <c r="H54" i="1"/>
  <c r="L54" i="9" l="1"/>
  <c r="J55" i="1"/>
  <c r="G55" i="1"/>
  <c r="A55" i="1"/>
  <c r="K55" i="9"/>
  <c r="M55" i="9"/>
  <c r="G57" i="1"/>
  <c r="J56" i="1"/>
  <c r="G56" i="1"/>
  <c r="A56" i="1"/>
  <c r="K56" i="9"/>
  <c r="I56" i="1" s="1"/>
  <c r="M56" i="9"/>
  <c r="H55" i="1"/>
  <c r="H56" i="1"/>
  <c r="I55" i="1" l="1"/>
  <c r="I55" i="9"/>
  <c r="L55" i="9" s="1"/>
  <c r="L56" i="9"/>
  <c r="D24" i="12"/>
  <c r="U42" i="14" l="1"/>
  <c r="U41" i="14" l="1"/>
  <c r="U43" i="14" l="1"/>
  <c r="J57" i="1" l="1"/>
  <c r="A57" i="1"/>
  <c r="K57" i="9"/>
  <c r="I57" i="1" s="1"/>
  <c r="M57" i="9"/>
  <c r="H57" i="1"/>
  <c r="L57" i="9" l="1"/>
  <c r="U44" i="14"/>
  <c r="U45" i="14" l="1"/>
  <c r="U46" i="14" l="1"/>
  <c r="U47" i="14" l="1"/>
  <c r="J58" i="1"/>
  <c r="G58" i="1"/>
  <c r="A58" i="1"/>
  <c r="H58" i="1"/>
  <c r="K58" i="9" l="1"/>
  <c r="I58" i="1" s="1"/>
  <c r="M58" i="9"/>
  <c r="L58" i="9" l="1"/>
  <c r="U49" i="14"/>
  <c r="U48" i="14"/>
  <c r="U50" i="14" l="1"/>
  <c r="U51" i="14" l="1"/>
  <c r="U52" i="14"/>
  <c r="J59" i="1" l="1"/>
  <c r="G59" i="1"/>
  <c r="A59" i="1"/>
  <c r="H59" i="1"/>
  <c r="K59" i="9" l="1"/>
  <c r="I59" i="1" s="1"/>
  <c r="M59" i="9"/>
  <c r="L59" i="9" l="1"/>
  <c r="U53" i="14"/>
  <c r="U54" i="14" l="1"/>
  <c r="J60" i="1" l="1"/>
  <c r="G60" i="1"/>
  <c r="A60" i="1"/>
  <c r="H60" i="1"/>
  <c r="K60" i="9" l="1"/>
  <c r="I60" i="1" s="1"/>
  <c r="M60" i="9"/>
  <c r="L60" i="9" l="1"/>
  <c r="U55" i="14"/>
  <c r="U56" i="14" l="1"/>
  <c r="U57" i="14" l="1"/>
  <c r="J61" i="1" l="1"/>
  <c r="G61" i="1"/>
  <c r="A61" i="1"/>
  <c r="K61" i="9"/>
  <c r="M61" i="9"/>
  <c r="H61" i="1"/>
  <c r="I61" i="9" l="1"/>
  <c r="L61" i="9" s="1"/>
  <c r="I61" i="1"/>
  <c r="U58" i="14"/>
  <c r="U59" i="14"/>
  <c r="U60" i="14"/>
  <c r="J62" i="1" l="1"/>
  <c r="G62" i="1"/>
  <c r="A62" i="1"/>
  <c r="H62" i="1"/>
  <c r="K62" i="9" l="1"/>
  <c r="M62" i="9"/>
  <c r="L62" i="9" l="1"/>
  <c r="I62" i="1"/>
  <c r="J63" i="1" l="1"/>
  <c r="G63" i="1"/>
  <c r="A63" i="1"/>
  <c r="K63" i="9"/>
  <c r="I63" i="1" s="1"/>
  <c r="M63" i="9"/>
  <c r="H63" i="1"/>
  <c r="L63" i="9" l="1"/>
  <c r="U61" i="14"/>
  <c r="J64" i="1" l="1"/>
  <c r="G64" i="1"/>
  <c r="A64" i="1"/>
  <c r="K64" i="9"/>
  <c r="I64" i="1" s="1"/>
  <c r="M64" i="9"/>
  <c r="H64" i="1"/>
  <c r="L64" i="9" l="1"/>
  <c r="M124" i="9"/>
  <c r="M65" i="9"/>
  <c r="U63" i="14"/>
  <c r="U64" i="14"/>
  <c r="U65" i="14"/>
  <c r="U66" i="14"/>
  <c r="U67" i="14"/>
  <c r="U68" i="14"/>
  <c r="U69" i="14"/>
  <c r="U70" i="14"/>
  <c r="U71" i="14"/>
  <c r="U72" i="14"/>
  <c r="U73" i="14"/>
  <c r="U74" i="14"/>
  <c r="U75" i="14"/>
  <c r="U76" i="14"/>
  <c r="U77" i="14"/>
  <c r="U78" i="14"/>
  <c r="U79" i="14"/>
  <c r="U80" i="14"/>
  <c r="U81" i="14"/>
  <c r="U82" i="14"/>
  <c r="U83" i="14"/>
  <c r="U84" i="14"/>
  <c r="U85" i="14"/>
  <c r="U86" i="14"/>
  <c r="U87" i="14"/>
  <c r="U88" i="14"/>
  <c r="U89" i="14"/>
  <c r="U90" i="14"/>
  <c r="U91" i="14"/>
  <c r="U92" i="14"/>
  <c r="U93" i="14"/>
  <c r="U94" i="14"/>
  <c r="U95" i="14"/>
  <c r="U96" i="14"/>
  <c r="U97" i="14"/>
  <c r="U98" i="14"/>
  <c r="U99" i="14"/>
  <c r="U100" i="14"/>
  <c r="U101" i="14"/>
  <c r="U102" i="14"/>
  <c r="U103" i="14"/>
  <c r="U104" i="14"/>
  <c r="U105" i="14"/>
  <c r="U106" i="14"/>
  <c r="U107" i="14"/>
  <c r="U108" i="14"/>
  <c r="U109" i="14"/>
  <c r="U110" i="14"/>
  <c r="U111" i="14"/>
  <c r="U112" i="14"/>
  <c r="U113" i="14"/>
  <c r="U114" i="14"/>
  <c r="U115" i="14"/>
  <c r="U116" i="14"/>
  <c r="U117" i="14"/>
  <c r="U118" i="14"/>
  <c r="U119" i="14"/>
  <c r="U120" i="14"/>
  <c r="U121" i="14"/>
  <c r="U122" i="14"/>
  <c r="U123" i="14"/>
  <c r="U124" i="14"/>
  <c r="U125" i="14"/>
  <c r="U126" i="14"/>
  <c r="U127" i="14"/>
  <c r="U128" i="14"/>
  <c r="U129" i="14"/>
  <c r="U130" i="14"/>
  <c r="U131" i="14"/>
  <c r="U132" i="14"/>
  <c r="U133" i="14"/>
  <c r="U134" i="14"/>
  <c r="U135" i="14"/>
  <c r="U136" i="14"/>
  <c r="U137" i="14"/>
  <c r="U138" i="14"/>
  <c r="U139" i="14"/>
  <c r="U140" i="14"/>
  <c r="U141" i="14"/>
  <c r="U142" i="14"/>
  <c r="U143" i="14"/>
  <c r="U144" i="14"/>
  <c r="U145" i="14"/>
  <c r="U146" i="14"/>
  <c r="U147" i="14"/>
  <c r="U148" i="14"/>
  <c r="U149" i="14"/>
  <c r="U150" i="14"/>
  <c r="U151" i="14"/>
  <c r="U152" i="14"/>
  <c r="U153" i="14"/>
  <c r="U154" i="14"/>
  <c r="U155" i="14"/>
  <c r="U156" i="14"/>
  <c r="U157" i="14"/>
  <c r="U158" i="14"/>
  <c r="U159" i="14"/>
  <c r="U160" i="14"/>
  <c r="U161" i="14"/>
  <c r="U162" i="14"/>
  <c r="U163" i="14"/>
  <c r="U164" i="14"/>
  <c r="U165" i="14"/>
  <c r="U166" i="14"/>
  <c r="U167" i="14"/>
  <c r="U168" i="14"/>
  <c r="U169" i="14"/>
  <c r="U170" i="14"/>
  <c r="U171" i="14"/>
  <c r="U172" i="14"/>
  <c r="U173" i="14"/>
  <c r="U174" i="14"/>
  <c r="U175" i="14"/>
  <c r="U176" i="14"/>
  <c r="U177" i="14"/>
  <c r="U178" i="14"/>
  <c r="U179" i="14"/>
  <c r="U180" i="14"/>
  <c r="U181" i="14"/>
  <c r="U182" i="14"/>
  <c r="U183" i="14"/>
  <c r="U184" i="14"/>
  <c r="U185" i="14"/>
  <c r="U186" i="14"/>
  <c r="U62" i="14"/>
  <c r="J65" i="1" l="1"/>
  <c r="G65" i="1"/>
  <c r="A65" i="1"/>
  <c r="K65" i="9"/>
  <c r="I65" i="1" s="1"/>
  <c r="H76" i="1"/>
  <c r="H127" i="1"/>
  <c r="H87" i="1"/>
  <c r="H150" i="1"/>
  <c r="H75" i="1"/>
  <c r="H173" i="1"/>
  <c r="H147" i="1"/>
  <c r="H122" i="1"/>
  <c r="H119" i="1"/>
  <c r="H142" i="1"/>
  <c r="H94" i="1"/>
  <c r="H174" i="1"/>
  <c r="H109" i="1"/>
  <c r="H72" i="1"/>
  <c r="H149" i="1"/>
  <c r="H93" i="1"/>
  <c r="H162" i="1"/>
  <c r="H84" i="1"/>
  <c r="H97" i="1"/>
  <c r="H117" i="1"/>
  <c r="H169" i="1"/>
  <c r="H148" i="1"/>
  <c r="H104" i="1"/>
  <c r="H70" i="1"/>
  <c r="H69" i="1"/>
  <c r="H98" i="1"/>
  <c r="H143" i="1"/>
  <c r="H145" i="1"/>
  <c r="H105" i="1"/>
  <c r="H179" i="1"/>
  <c r="H176" i="1"/>
  <c r="H140" i="1"/>
  <c r="H131" i="1"/>
  <c r="H156" i="1"/>
  <c r="H82" i="1"/>
  <c r="H79" i="1"/>
  <c r="H160" i="1"/>
  <c r="H121" i="1"/>
  <c r="H108" i="1"/>
  <c r="H178" i="1"/>
  <c r="H141" i="1"/>
  <c r="H168" i="1"/>
  <c r="H164" i="1"/>
  <c r="H134" i="1"/>
  <c r="H137" i="1"/>
  <c r="H133" i="1"/>
  <c r="H125" i="1"/>
  <c r="H88" i="1"/>
  <c r="H136" i="1"/>
  <c r="H114" i="1"/>
  <c r="H126" i="1"/>
  <c r="H99" i="1"/>
  <c r="H83" i="1"/>
  <c r="H86" i="1"/>
  <c r="H77" i="1"/>
  <c r="H175" i="1"/>
  <c r="H81" i="1"/>
  <c r="H68" i="1"/>
  <c r="H73" i="1"/>
  <c r="H153" i="1"/>
  <c r="H112" i="1"/>
  <c r="H111" i="1"/>
  <c r="H167" i="1"/>
  <c r="H65" i="1"/>
  <c r="H138" i="1"/>
  <c r="H78" i="1"/>
  <c r="H71" i="1"/>
  <c r="H165" i="1"/>
  <c r="H154" i="1"/>
  <c r="H106" i="1"/>
  <c r="H152" i="1"/>
  <c r="H146" i="1"/>
  <c r="H85" i="1"/>
  <c r="H128" i="1"/>
  <c r="H144" i="1"/>
  <c r="H74" i="1"/>
  <c r="H90" i="1"/>
  <c r="H159" i="1"/>
  <c r="H130" i="1"/>
  <c r="H115" i="1"/>
  <c r="H129" i="1"/>
  <c r="H91" i="1"/>
  <c r="H139" i="1"/>
  <c r="H157" i="1"/>
  <c r="H66" i="1"/>
  <c r="H92" i="1"/>
  <c r="H96" i="1"/>
  <c r="H67" i="1"/>
  <c r="H89" i="1"/>
  <c r="H135" i="1"/>
  <c r="H172" i="1"/>
  <c r="H123" i="1"/>
  <c r="H163" i="1"/>
  <c r="H100" i="1"/>
  <c r="H110" i="1"/>
  <c r="H132" i="1"/>
  <c r="H158" i="1"/>
  <c r="H80" i="1"/>
  <c r="H151" i="1"/>
  <c r="H101" i="1"/>
  <c r="H103" i="1"/>
  <c r="H161" i="1"/>
  <c r="H166" i="1"/>
  <c r="H155" i="1"/>
  <c r="H102" i="1"/>
  <c r="H124" i="1"/>
  <c r="H118" i="1"/>
  <c r="H170" i="1"/>
  <c r="H113" i="1"/>
  <c r="H120" i="1"/>
  <c r="H177" i="1"/>
  <c r="H116" i="1"/>
  <c r="H95" i="1"/>
  <c r="H171" i="1"/>
  <c r="H107" i="1"/>
  <c r="L65" i="9" l="1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66" i="9"/>
  <c r="J72" i="1" l="1"/>
  <c r="J66" i="1"/>
  <c r="G66" i="1"/>
  <c r="A66" i="1"/>
  <c r="K66" i="9"/>
  <c r="I66" i="1" s="1"/>
  <c r="K4" i="12"/>
  <c r="K7" i="12" s="1"/>
  <c r="H4" i="12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G148" i="1"/>
  <c r="A95" i="1"/>
  <c r="G95" i="1"/>
  <c r="J95" i="1"/>
  <c r="J68" i="1"/>
  <c r="J69" i="1"/>
  <c r="J70" i="1"/>
  <c r="J71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67" i="1"/>
  <c r="L66" i="9" l="1"/>
  <c r="G67" i="1"/>
  <c r="A67" i="1"/>
  <c r="K67" i="9"/>
  <c r="I67" i="1" s="1"/>
  <c r="L67" i="9" l="1"/>
  <c r="G68" i="1"/>
  <c r="A68" i="1"/>
  <c r="K68" i="9" l="1"/>
  <c r="L68" i="9" l="1"/>
  <c r="I68" i="1"/>
  <c r="G69" i="1"/>
  <c r="A69" i="1"/>
  <c r="K69" i="9"/>
  <c r="I69" i="1" s="1"/>
  <c r="L69" i="9" l="1"/>
  <c r="A150" i="1"/>
  <c r="A151" i="1"/>
  <c r="G150" i="1"/>
  <c r="G151" i="1"/>
  <c r="A149" i="1"/>
  <c r="G149" i="1"/>
  <c r="K149" i="9"/>
  <c r="I149" i="9" s="1"/>
  <c r="K150" i="9"/>
  <c r="I150" i="9" s="1"/>
  <c r="K151" i="9"/>
  <c r="I151" i="1" l="1"/>
  <c r="I150" i="1"/>
  <c r="L151" i="9"/>
  <c r="L150" i="9"/>
  <c r="L149" i="9"/>
  <c r="I4" i="12"/>
  <c r="G4" i="12"/>
  <c r="E4" i="12"/>
  <c r="D4" i="12"/>
  <c r="F4" i="12"/>
  <c r="G71" i="1" l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70" i="1"/>
  <c r="K147" i="9" l="1"/>
  <c r="A147" i="1"/>
  <c r="I147" i="1" l="1"/>
  <c r="I147" i="9"/>
  <c r="L147" i="9" s="1"/>
  <c r="J4" i="12"/>
  <c r="L4" i="12" s="1"/>
  <c r="K146" i="9" l="1"/>
  <c r="A146" i="1"/>
  <c r="I146" i="1" l="1"/>
  <c r="I146" i="9"/>
  <c r="L146" i="9" s="1"/>
  <c r="A145" i="1"/>
  <c r="K145" i="9"/>
  <c r="I145" i="9" s="1"/>
  <c r="L145" i="9" l="1"/>
  <c r="I145" i="1"/>
  <c r="K144" i="9"/>
  <c r="B143" i="1"/>
  <c r="A143" i="1"/>
  <c r="K143" i="9"/>
  <c r="I143" i="9" s="1"/>
  <c r="I143" i="1" l="1"/>
  <c r="L144" i="9"/>
  <c r="I144" i="1"/>
  <c r="L143" i="9"/>
  <c r="I153" i="1"/>
  <c r="I154" i="1"/>
  <c r="I155" i="1"/>
  <c r="I156" i="1"/>
  <c r="I157" i="1"/>
  <c r="I158" i="1"/>
  <c r="I159" i="1"/>
  <c r="I160" i="1"/>
  <c r="I161" i="1"/>
  <c r="I162" i="1"/>
  <c r="I163" i="1"/>
  <c r="I164" i="1"/>
  <c r="O6" i="13" l="1"/>
  <c r="O12" i="13" s="1"/>
  <c r="O8" i="13" l="1"/>
  <c r="A123" i="1"/>
  <c r="O10" i="13" l="1"/>
  <c r="O14" i="13" s="1"/>
  <c r="K123" i="9"/>
  <c r="I123" i="1" l="1"/>
  <c r="I123" i="9"/>
  <c r="L123" i="9" s="1"/>
  <c r="K142" i="9" l="1"/>
  <c r="I142" i="1" s="1"/>
  <c r="K141" i="9"/>
  <c r="I141" i="1" s="1"/>
  <c r="K140" i="9"/>
  <c r="K139" i="9"/>
  <c r="I139" i="1" s="1"/>
  <c r="K138" i="9"/>
  <c r="K137" i="9"/>
  <c r="I137" i="1" s="1"/>
  <c r="K136" i="9"/>
  <c r="K135" i="9"/>
  <c r="I135" i="1" s="1"/>
  <c r="K134" i="9"/>
  <c r="K133" i="9"/>
  <c r="I133" i="1" s="1"/>
  <c r="K132" i="9"/>
  <c r="K131" i="9"/>
  <c r="I131" i="1" s="1"/>
  <c r="K130" i="9"/>
  <c r="K129" i="9"/>
  <c r="K128" i="9"/>
  <c r="I128" i="1" s="1"/>
  <c r="K127" i="9"/>
  <c r="I127" i="1" s="1"/>
  <c r="K126" i="9"/>
  <c r="I126" i="1" s="1"/>
  <c r="K125" i="9"/>
  <c r="I125" i="1" s="1"/>
  <c r="K124" i="9"/>
  <c r="I124" i="1" s="1"/>
  <c r="K122" i="9"/>
  <c r="K121" i="9"/>
  <c r="I121" i="1" s="1"/>
  <c r="K120" i="9"/>
  <c r="I120" i="1" s="1"/>
  <c r="K119" i="9"/>
  <c r="K118" i="9"/>
  <c r="K117" i="9"/>
  <c r="I117" i="1" s="1"/>
  <c r="K116" i="9"/>
  <c r="I116" i="1" s="1"/>
  <c r="K115" i="9"/>
  <c r="K114" i="9"/>
  <c r="I114" i="1" s="1"/>
  <c r="K113" i="9"/>
  <c r="K112" i="9"/>
  <c r="I111" i="1"/>
  <c r="K110" i="9"/>
  <c r="I110" i="1" s="1"/>
  <c r="K109" i="9"/>
  <c r="I109" i="1" s="1"/>
  <c r="K108" i="9"/>
  <c r="I108" i="1" s="1"/>
  <c r="K107" i="9"/>
  <c r="K106" i="9"/>
  <c r="K105" i="9"/>
  <c r="I105" i="1" s="1"/>
  <c r="K104" i="9"/>
  <c r="I104" i="1" s="1"/>
  <c r="K103" i="9"/>
  <c r="I103" i="1" s="1"/>
  <c r="K102" i="9"/>
  <c r="K101" i="9"/>
  <c r="I101" i="1" s="1"/>
  <c r="K100" i="9"/>
  <c r="I100" i="1" s="1"/>
  <c r="K99" i="9"/>
  <c r="I99" i="1" s="1"/>
  <c r="K97" i="9"/>
  <c r="I97" i="1" s="1"/>
  <c r="K96" i="9"/>
  <c r="I96" i="1" s="1"/>
  <c r="K95" i="9"/>
  <c r="I95" i="1" s="1"/>
  <c r="K94" i="9"/>
  <c r="K93" i="9"/>
  <c r="I93" i="1" s="1"/>
  <c r="K92" i="9"/>
  <c r="I92" i="1" s="1"/>
  <c r="K91" i="9"/>
  <c r="I91" i="1" s="1"/>
  <c r="K90" i="9"/>
  <c r="K89" i="9"/>
  <c r="K88" i="9"/>
  <c r="K87" i="9"/>
  <c r="I87" i="1" s="1"/>
  <c r="K86" i="9"/>
  <c r="I86" i="1" s="1"/>
  <c r="K85" i="9"/>
  <c r="I85" i="1" s="1"/>
  <c r="K84" i="9"/>
  <c r="I84" i="1" s="1"/>
  <c r="K83" i="9"/>
  <c r="I83" i="1" s="1"/>
  <c r="K82" i="9"/>
  <c r="I82" i="1" s="1"/>
  <c r="K81" i="9"/>
  <c r="I81" i="1" s="1"/>
  <c r="K80" i="9"/>
  <c r="K79" i="9"/>
  <c r="K78" i="9"/>
  <c r="K77" i="9"/>
  <c r="I77" i="1" s="1"/>
  <c r="K76" i="9"/>
  <c r="I76" i="1" s="1"/>
  <c r="K75" i="9"/>
  <c r="I75" i="1" s="1"/>
  <c r="K74" i="9"/>
  <c r="K73" i="9"/>
  <c r="I73" i="1" s="1"/>
  <c r="K72" i="9"/>
  <c r="I72" i="1" s="1"/>
  <c r="K71" i="9"/>
  <c r="K148" i="9"/>
  <c r="K98" i="9"/>
  <c r="I98" i="1" s="1"/>
  <c r="K70" i="9"/>
  <c r="I70" i="1" s="1"/>
  <c r="B85" i="1"/>
  <c r="A85" i="1"/>
  <c r="B77" i="1"/>
  <c r="A77" i="1"/>
  <c r="I132" i="1" l="1"/>
  <c r="I132" i="9"/>
  <c r="L132" i="9" s="1"/>
  <c r="I138" i="1"/>
  <c r="I138" i="9"/>
  <c r="L138" i="9" s="1"/>
  <c r="I118" i="1"/>
  <c r="I118" i="9"/>
  <c r="I149" i="1"/>
  <c r="I148" i="9"/>
  <c r="L148" i="9" s="1"/>
  <c r="I94" i="1"/>
  <c r="I94" i="9"/>
  <c r="L94" i="9" s="1"/>
  <c r="I119" i="1"/>
  <c r="I119" i="9"/>
  <c r="L119" i="9" s="1"/>
  <c r="I122" i="1"/>
  <c r="I122" i="9"/>
  <c r="L122" i="9" s="1"/>
  <c r="I74" i="1"/>
  <c r="I74" i="9"/>
  <c r="L74" i="9" s="1"/>
  <c r="I78" i="1"/>
  <c r="I78" i="9"/>
  <c r="L78" i="9" s="1"/>
  <c r="I79" i="1"/>
  <c r="I79" i="9"/>
  <c r="L79" i="9" s="1"/>
  <c r="I129" i="1"/>
  <c r="I129" i="9"/>
  <c r="L129" i="9" s="1"/>
  <c r="I80" i="1"/>
  <c r="I80" i="9"/>
  <c r="L80" i="9" s="1"/>
  <c r="I130" i="1"/>
  <c r="I130" i="9"/>
  <c r="L130" i="9" s="1"/>
  <c r="I71" i="1"/>
  <c r="I71" i="9"/>
  <c r="L71" i="9" s="1"/>
  <c r="I102" i="1"/>
  <c r="I102" i="9"/>
  <c r="L102" i="9" s="1"/>
  <c r="I106" i="1"/>
  <c r="I106" i="9"/>
  <c r="L106" i="9" s="1"/>
  <c r="I134" i="1"/>
  <c r="I134" i="9"/>
  <c r="L134" i="9" s="1"/>
  <c r="I136" i="1"/>
  <c r="I136" i="9"/>
  <c r="L136" i="9" s="1"/>
  <c r="I112" i="1"/>
  <c r="I112" i="9"/>
  <c r="L112" i="9" s="1"/>
  <c r="I107" i="1"/>
  <c r="I107" i="9"/>
  <c r="L107" i="9" s="1"/>
  <c r="I88" i="1"/>
  <c r="I88" i="9"/>
  <c r="L88" i="9" s="1"/>
  <c r="I113" i="1"/>
  <c r="I113" i="9"/>
  <c r="L113" i="9" s="1"/>
  <c r="I89" i="1"/>
  <c r="I89" i="9"/>
  <c r="L89" i="9" s="1"/>
  <c r="I90" i="1"/>
  <c r="I90" i="9"/>
  <c r="L90" i="9" s="1"/>
  <c r="I115" i="1"/>
  <c r="I115" i="9"/>
  <c r="L115" i="9" s="1"/>
  <c r="I140" i="1"/>
  <c r="I140" i="9"/>
  <c r="L140" i="9" s="1"/>
  <c r="I148" i="1"/>
  <c r="L118" i="9"/>
  <c r="L124" i="9"/>
  <c r="I152" i="1"/>
  <c r="L135" i="9"/>
  <c r="L108" i="9"/>
  <c r="L75" i="9"/>
  <c r="L87" i="9"/>
  <c r="L84" i="9"/>
  <c r="L131" i="9"/>
  <c r="L77" i="9"/>
  <c r="L85" i="9"/>
  <c r="L141" i="9"/>
  <c r="L103" i="9"/>
  <c r="L93" i="9"/>
  <c r="L96" i="9"/>
  <c r="L73" i="9"/>
  <c r="L133" i="9"/>
  <c r="L139" i="9"/>
  <c r="L121" i="9"/>
  <c r="L83" i="9"/>
  <c r="L116" i="9"/>
  <c r="L95" i="9"/>
  <c r="L117" i="9"/>
  <c r="L142" i="9"/>
  <c r="L104" i="9"/>
  <c r="L126" i="9"/>
  <c r="L127" i="9"/>
  <c r="L128" i="9"/>
  <c r="L125" i="9"/>
  <c r="L120" i="9"/>
  <c r="L114" i="9"/>
  <c r="L109" i="9"/>
  <c r="L110" i="9"/>
  <c r="L97" i="9"/>
  <c r="L92" i="9"/>
  <c r="L91" i="9"/>
  <c r="L86" i="9"/>
  <c r="L82" i="9"/>
  <c r="L98" i="9"/>
  <c r="L100" i="9"/>
  <c r="L101" i="9"/>
  <c r="L99" i="9"/>
  <c r="L81" i="9"/>
  <c r="L70" i="9"/>
  <c r="L137" i="9"/>
  <c r="L105" i="9"/>
  <c r="L76" i="9"/>
  <c r="L72" i="9"/>
  <c r="A82" i="1"/>
  <c r="A107" i="1" l="1"/>
  <c r="A122" i="1"/>
  <c r="A142" i="1"/>
  <c r="A70" i="1"/>
  <c r="A74" i="1"/>
  <c r="A78" i="1"/>
  <c r="A80" i="1"/>
  <c r="A83" i="1"/>
  <c r="A88" i="1"/>
  <c r="A90" i="1"/>
  <c r="A91" i="1"/>
  <c r="A97" i="1"/>
  <c r="A101" i="1"/>
  <c r="A102" i="1"/>
  <c r="A103" i="1"/>
  <c r="A108" i="1"/>
  <c r="A109" i="1"/>
  <c r="A111" i="1"/>
  <c r="A119" i="1"/>
  <c r="A120" i="1"/>
  <c r="A121" i="1"/>
  <c r="A124" i="1"/>
  <c r="A125" i="1"/>
  <c r="A128" i="1"/>
  <c r="A130" i="1"/>
  <c r="A137" i="1"/>
  <c r="A105" i="1"/>
  <c r="A163" i="1"/>
  <c r="A144" i="1"/>
  <c r="A148" i="1"/>
  <c r="A152" i="1"/>
  <c r="A153" i="1"/>
  <c r="A154" i="1"/>
  <c r="A98" i="1"/>
  <c r="A155" i="1"/>
  <c r="A72" i="1"/>
  <c r="A73" i="1"/>
  <c r="A75" i="1"/>
  <c r="A76" i="1"/>
  <c r="A79" i="1"/>
  <c r="A81" i="1"/>
  <c r="A84" i="1"/>
  <c r="A86" i="1"/>
  <c r="A87" i="1"/>
  <c r="A89" i="1"/>
  <c r="A156" i="1"/>
  <c r="A92" i="1"/>
  <c r="A93" i="1"/>
  <c r="A94" i="1"/>
  <c r="A96" i="1"/>
  <c r="A99" i="1"/>
  <c r="A100" i="1"/>
  <c r="A104" i="1"/>
  <c r="A157" i="1"/>
  <c r="A158" i="1"/>
  <c r="A159" i="1"/>
  <c r="A160" i="1"/>
  <c r="A161" i="1"/>
  <c r="A162" i="1"/>
  <c r="A164" i="1"/>
  <c r="A106" i="1"/>
  <c r="A110" i="1"/>
  <c r="A112" i="1"/>
  <c r="A113" i="1"/>
  <c r="A114" i="1"/>
  <c r="A115" i="1"/>
  <c r="A116" i="1"/>
  <c r="A117" i="1"/>
  <c r="A118" i="1"/>
  <c r="A126" i="1"/>
  <c r="A127" i="1"/>
  <c r="A129" i="1"/>
  <c r="A131" i="1"/>
  <c r="A132" i="1"/>
  <c r="A133" i="1"/>
  <c r="A134" i="1"/>
  <c r="A135" i="1"/>
  <c r="A136" i="1"/>
  <c r="A138" i="1"/>
  <c r="A139" i="1"/>
  <c r="A140" i="1"/>
  <c r="A141" i="1"/>
  <c r="A71" i="1"/>
  <c r="E7" i="12" l="1"/>
  <c r="K2" i="1" s="1"/>
  <c r="J7" i="12"/>
  <c r="I7" i="12"/>
  <c r="G7" i="12"/>
  <c r="H7" i="12"/>
  <c r="F7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Regimar</author>
  </authors>
  <commentList>
    <comment ref="H3" authorId="0" shapeId="0" xr:uid="{81124D98-E422-4AC9-A36C-677EC7E766C3}">
      <text>
        <r>
          <rPr>
            <b/>
            <sz val="10"/>
            <color indexed="81"/>
            <rFont val="Segoe UI"/>
            <family val="2"/>
          </rPr>
          <t xml:space="preserve">ALTERAÇÃO DE DESCONTO:
</t>
        </r>
        <r>
          <rPr>
            <sz val="10"/>
            <color indexed="81"/>
            <rFont val="Segoe UI"/>
            <family val="2"/>
          </rPr>
          <t>Para alterar, vá para a aba "Precificação de produto" e mude por lá, que está localizado na exata mesma linha.</t>
        </r>
      </text>
    </comment>
    <comment ref="H71" authorId="0" shapeId="0" xr:uid="{46B4483C-3C2B-4A17-AE88-3121CE29C3CE}">
      <text>
        <r>
          <rPr>
            <b/>
            <sz val="10"/>
            <color indexed="81"/>
            <rFont val="Segoe UI"/>
            <family val="2"/>
          </rPr>
          <t xml:space="preserve">Desconto original:
</t>
        </r>
        <r>
          <rPr>
            <sz val="10"/>
            <color indexed="81"/>
            <rFont val="Segoe UI"/>
            <family val="2"/>
          </rPr>
          <t>21%</t>
        </r>
      </text>
    </comment>
    <comment ref="H74" authorId="0" shapeId="0" xr:uid="{AAAEB4CE-27C4-4C62-AD0A-F3E2506B05C1}">
      <text>
        <r>
          <rPr>
            <b/>
            <sz val="9"/>
            <color indexed="81"/>
            <rFont val="Segoe UI"/>
            <family val="2"/>
          </rPr>
          <t>Desconto original:</t>
        </r>
        <r>
          <rPr>
            <sz val="9"/>
            <color indexed="81"/>
            <rFont val="Segoe UI"/>
            <family val="2"/>
          </rPr>
          <t xml:space="preserve">
44%</t>
        </r>
      </text>
    </comment>
    <comment ref="H78" authorId="0" shapeId="0" xr:uid="{DDE498ED-0177-41F1-82E1-94FC47A0E56C}">
      <text>
        <r>
          <rPr>
            <sz val="10"/>
            <color indexed="81"/>
            <rFont val="Segoe UI"/>
            <family val="2"/>
          </rPr>
          <t xml:space="preserve">Desconto padrão: 
</t>
        </r>
        <r>
          <rPr>
            <b/>
            <sz val="10"/>
            <color indexed="81"/>
            <rFont val="Segoe UI"/>
            <family val="2"/>
          </rPr>
          <t>10%</t>
        </r>
      </text>
    </comment>
    <comment ref="H97" authorId="0" shapeId="0" xr:uid="{D8C3BFD1-89E9-46BC-B5E4-E33DB13EE25D}">
      <text>
        <r>
          <rPr>
            <b/>
            <sz val="9"/>
            <color indexed="81"/>
            <rFont val="Segoe UI"/>
            <family val="2"/>
          </rPr>
          <t>Desconto original:</t>
        </r>
        <r>
          <rPr>
            <sz val="9"/>
            <color indexed="81"/>
            <rFont val="Segoe UI"/>
            <family val="2"/>
          </rPr>
          <t xml:space="preserve">
38%</t>
        </r>
      </text>
    </comment>
    <comment ref="H105" authorId="0" shapeId="0" xr:uid="{275218EC-ECA0-4381-B8F2-EC601F6FC84A}">
      <text>
        <r>
          <rPr>
            <b/>
            <sz val="9"/>
            <color indexed="81"/>
            <rFont val="Segoe UI"/>
            <family val="2"/>
          </rPr>
          <t>Desconto original:</t>
        </r>
        <r>
          <rPr>
            <sz val="9"/>
            <color indexed="81"/>
            <rFont val="Segoe UI"/>
            <family val="2"/>
          </rPr>
          <t xml:space="preserve">
32%</t>
        </r>
      </text>
    </comment>
    <comment ref="H114" authorId="0" shapeId="0" xr:uid="{AFEFA0E8-CF8E-4013-97B0-D3CD2E721A4C}">
      <text>
        <r>
          <rPr>
            <b/>
            <sz val="9"/>
            <color indexed="81"/>
            <rFont val="Segoe UI"/>
            <family val="2"/>
          </rPr>
          <t>Regimar:</t>
        </r>
        <r>
          <rPr>
            <sz val="9"/>
            <color indexed="81"/>
            <rFont val="Segoe UI"/>
            <family val="2"/>
          </rPr>
          <t xml:space="preserve">
7% de desconto padrão
</t>
        </r>
      </text>
    </comment>
    <comment ref="H130" authorId="0" shapeId="0" xr:uid="{6612BFCA-CBD7-4A3D-8C36-276A75665F82}">
      <text>
        <r>
          <rPr>
            <b/>
            <sz val="9"/>
            <color indexed="81"/>
            <rFont val="Segoe UI"/>
            <family val="2"/>
          </rPr>
          <t xml:space="preserve">Desconto padrão:
</t>
        </r>
        <r>
          <rPr>
            <sz val="9"/>
            <color indexed="81"/>
            <rFont val="Segoe UI"/>
            <family val="2"/>
          </rPr>
          <t xml:space="preserve">30%
</t>
        </r>
      </text>
    </comment>
    <comment ref="H143" authorId="0" shapeId="0" xr:uid="{3B67514C-117D-40BC-8D65-56D7099C17BB}">
      <text>
        <r>
          <rPr>
            <b/>
            <sz val="10"/>
            <color indexed="81"/>
            <rFont val="Segoe UI"/>
            <family val="2"/>
          </rPr>
          <t>Regimar:</t>
        </r>
        <r>
          <rPr>
            <sz val="10"/>
            <color indexed="81"/>
            <rFont val="Segoe UI"/>
            <family val="2"/>
          </rPr>
          <t xml:space="preserve">
10%</t>
        </r>
      </text>
    </comment>
    <comment ref="H144" authorId="0" shapeId="0" xr:uid="{C6701E6C-F806-4B47-A3BD-A94CB45F55A2}">
      <text>
        <r>
          <rPr>
            <b/>
            <sz val="10"/>
            <color indexed="81"/>
            <rFont val="Segoe UI"/>
            <family val="2"/>
          </rPr>
          <t>Desconto padrão:</t>
        </r>
        <r>
          <rPr>
            <sz val="10"/>
            <color indexed="81"/>
            <rFont val="Segoe UI"/>
            <family val="2"/>
          </rPr>
          <t xml:space="preserve">
10%</t>
        </r>
      </text>
    </comment>
    <comment ref="H145" authorId="0" shapeId="0" xr:uid="{1A3BF783-56A5-4D2A-A63F-A1B4331AF2E5}">
      <text>
        <r>
          <rPr>
            <b/>
            <sz val="9"/>
            <color indexed="81"/>
            <rFont val="Segoe UI"/>
            <family val="2"/>
          </rPr>
          <t>Desconto original:</t>
        </r>
        <r>
          <rPr>
            <sz val="9"/>
            <color indexed="81"/>
            <rFont val="Segoe UI"/>
            <family val="2"/>
          </rPr>
          <t xml:space="preserve">
24%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Regimar</author>
  </authors>
  <commentList>
    <comment ref="J4" authorId="0" shapeId="0" xr:uid="{2FEB3EEF-EB5E-470A-93D6-52B5843D67BB}">
      <text>
        <r>
          <rPr>
            <b/>
            <sz val="9"/>
            <color indexed="81"/>
            <rFont val="Segoe UI"/>
            <family val="2"/>
          </rPr>
          <t>Regimar:</t>
        </r>
        <r>
          <rPr>
            <sz val="9"/>
            <color indexed="81"/>
            <rFont val="Segoe UI"/>
            <family val="2"/>
          </rPr>
          <t xml:space="preserve">
31% ou 37%</t>
        </r>
      </text>
    </comment>
    <comment ref="J5" authorId="0" shapeId="0" xr:uid="{7FE6CE50-0FC9-4AB5-A73A-026C55D6A697}">
      <text>
        <r>
          <rPr>
            <b/>
            <sz val="9"/>
            <color indexed="81"/>
            <rFont val="Segoe UI"/>
            <family val="2"/>
          </rPr>
          <t>Regimar:</t>
        </r>
        <r>
          <rPr>
            <sz val="9"/>
            <color indexed="81"/>
            <rFont val="Segoe UI"/>
            <family val="2"/>
          </rPr>
          <t xml:space="preserve">
31% ou 37%</t>
        </r>
      </text>
    </comment>
    <comment ref="K49" authorId="0" shapeId="0" xr:uid="{ECF63F7C-41BD-4049-A8F6-A48D2BB3879E}">
      <text>
        <r>
          <rPr>
            <b/>
            <sz val="9"/>
            <color indexed="81"/>
            <rFont val="Segoe UI"/>
            <family val="2"/>
          </rPr>
          <t>Regimar:</t>
        </r>
        <r>
          <rPr>
            <sz val="9"/>
            <color indexed="81"/>
            <rFont val="Segoe UI"/>
            <family val="2"/>
          </rPr>
          <t xml:space="preserve">
Vender por R$ 45,00</t>
        </r>
      </text>
    </comment>
    <comment ref="J137" authorId="0" shapeId="0" xr:uid="{D8717CBB-149F-4B84-A48D-E8AC49588C0C}">
      <text>
        <r>
          <rPr>
            <b/>
            <sz val="10"/>
            <color indexed="81"/>
            <rFont val="Segoe UI"/>
            <family val="2"/>
          </rPr>
          <t>Regimar:</t>
        </r>
        <r>
          <rPr>
            <sz val="10"/>
            <color indexed="81"/>
            <rFont val="Segoe UI"/>
            <family val="2"/>
          </rPr>
          <t xml:space="preserve">
Desconto Original: 
10%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Regimar</author>
  </authors>
  <commentList>
    <comment ref="K2" authorId="0" shapeId="0" xr:uid="{263D6AB1-D0BD-4C64-B9DF-4AB733901A12}">
      <text>
        <r>
          <rPr>
            <b/>
            <sz val="10"/>
            <color indexed="81"/>
            <rFont val="Segoe UI"/>
            <family val="2"/>
          </rPr>
          <t>Sublinhado:</t>
        </r>
        <r>
          <rPr>
            <sz val="10"/>
            <color indexed="81"/>
            <rFont val="Segoe UI"/>
            <family val="2"/>
          </rPr>
          <t xml:space="preserve">
Sublinhado significa que já vendemos para esse cliente.</t>
        </r>
      </text>
    </comment>
    <comment ref="P2" authorId="0" shapeId="0" xr:uid="{56CB9335-6C9D-419E-B6F3-8A60ABAEE99A}">
      <text>
        <r>
          <rPr>
            <b/>
            <sz val="10"/>
            <color indexed="81"/>
            <rFont val="Segoe UI"/>
            <family val="2"/>
          </rPr>
          <t xml:space="preserve">Estados Brasileiro:
</t>
        </r>
        <r>
          <rPr>
            <sz val="10"/>
            <color indexed="81"/>
            <rFont val="Segoe UI"/>
            <family val="2"/>
          </rPr>
          <t xml:space="preserve">Acre - </t>
        </r>
        <r>
          <rPr>
            <b/>
            <sz val="10"/>
            <color indexed="81"/>
            <rFont val="Segoe UI"/>
            <family val="2"/>
          </rPr>
          <t>AC;</t>
        </r>
        <r>
          <rPr>
            <sz val="10"/>
            <color indexed="81"/>
            <rFont val="Segoe UI"/>
            <family val="2"/>
          </rPr>
          <t xml:space="preserve"> Alagoas - </t>
        </r>
        <r>
          <rPr>
            <b/>
            <sz val="10"/>
            <color indexed="81"/>
            <rFont val="Segoe UI"/>
            <family val="2"/>
          </rPr>
          <t>AL;</t>
        </r>
        <r>
          <rPr>
            <sz val="10"/>
            <color indexed="81"/>
            <rFont val="Segoe UI"/>
            <family val="2"/>
          </rPr>
          <t xml:space="preserve"> Amapá - </t>
        </r>
        <r>
          <rPr>
            <b/>
            <sz val="10"/>
            <color indexed="81"/>
            <rFont val="Segoe UI"/>
            <family val="2"/>
          </rPr>
          <t>AP;</t>
        </r>
        <r>
          <rPr>
            <sz val="10"/>
            <color indexed="81"/>
            <rFont val="Segoe UI"/>
            <family val="2"/>
          </rPr>
          <t xml:space="preserve"> Amazonas - </t>
        </r>
        <r>
          <rPr>
            <b/>
            <sz val="10"/>
            <color indexed="81"/>
            <rFont val="Segoe UI"/>
            <family val="2"/>
          </rPr>
          <t>AM;</t>
        </r>
        <r>
          <rPr>
            <sz val="10"/>
            <color indexed="81"/>
            <rFont val="Segoe UI"/>
            <family val="2"/>
          </rPr>
          <t xml:space="preserve"> Bahia - </t>
        </r>
        <r>
          <rPr>
            <b/>
            <sz val="10"/>
            <color indexed="81"/>
            <rFont val="Segoe UI"/>
            <family val="2"/>
          </rPr>
          <t>BA;</t>
        </r>
        <r>
          <rPr>
            <sz val="10"/>
            <color indexed="81"/>
            <rFont val="Segoe UI"/>
            <family val="2"/>
          </rPr>
          <t xml:space="preserve"> Ceará - </t>
        </r>
        <r>
          <rPr>
            <b/>
            <sz val="10"/>
            <color indexed="81"/>
            <rFont val="Segoe UI"/>
            <family val="2"/>
          </rPr>
          <t>CE;</t>
        </r>
        <r>
          <rPr>
            <sz val="10"/>
            <color indexed="81"/>
            <rFont val="Segoe UI"/>
            <family val="2"/>
          </rPr>
          <t xml:space="preserve"> Distrito Federal - </t>
        </r>
        <r>
          <rPr>
            <b/>
            <sz val="10"/>
            <color indexed="81"/>
            <rFont val="Segoe UI"/>
            <family val="2"/>
          </rPr>
          <t>DF;</t>
        </r>
        <r>
          <rPr>
            <sz val="10"/>
            <color indexed="81"/>
            <rFont val="Segoe UI"/>
            <family val="2"/>
          </rPr>
          <t xml:space="preserve"> Espírito Santo - </t>
        </r>
        <r>
          <rPr>
            <b/>
            <sz val="10"/>
            <color indexed="81"/>
            <rFont val="Segoe UI"/>
            <family val="2"/>
          </rPr>
          <t>ES;</t>
        </r>
        <r>
          <rPr>
            <sz val="10"/>
            <color indexed="81"/>
            <rFont val="Segoe UI"/>
            <family val="2"/>
          </rPr>
          <t xml:space="preserve"> Goiás - </t>
        </r>
        <r>
          <rPr>
            <b/>
            <sz val="10"/>
            <color indexed="81"/>
            <rFont val="Segoe UI"/>
            <family val="2"/>
          </rPr>
          <t>GO;</t>
        </r>
        <r>
          <rPr>
            <sz val="10"/>
            <color indexed="81"/>
            <rFont val="Segoe UI"/>
            <family val="2"/>
          </rPr>
          <t xml:space="preserve"> Maranhão - </t>
        </r>
        <r>
          <rPr>
            <b/>
            <sz val="10"/>
            <color indexed="81"/>
            <rFont val="Segoe UI"/>
            <family val="2"/>
          </rPr>
          <t>MA;</t>
        </r>
        <r>
          <rPr>
            <sz val="10"/>
            <color indexed="81"/>
            <rFont val="Segoe UI"/>
            <family val="2"/>
          </rPr>
          <t xml:space="preserve"> Mato Grosso - </t>
        </r>
        <r>
          <rPr>
            <b/>
            <sz val="10"/>
            <color indexed="81"/>
            <rFont val="Segoe UI"/>
            <family val="2"/>
          </rPr>
          <t>MT;</t>
        </r>
        <r>
          <rPr>
            <sz val="10"/>
            <color indexed="81"/>
            <rFont val="Segoe UI"/>
            <family val="2"/>
          </rPr>
          <t xml:space="preserve"> 
Mato Grosso do Sul - </t>
        </r>
        <r>
          <rPr>
            <b/>
            <sz val="10"/>
            <color indexed="81"/>
            <rFont val="Segoe UI"/>
            <family val="2"/>
          </rPr>
          <t>MS;</t>
        </r>
        <r>
          <rPr>
            <sz val="10"/>
            <color indexed="81"/>
            <rFont val="Segoe UI"/>
            <family val="2"/>
          </rPr>
          <t xml:space="preserve"> Minas Gerais - </t>
        </r>
        <r>
          <rPr>
            <b/>
            <sz val="10"/>
            <color indexed="81"/>
            <rFont val="Segoe UI"/>
            <family val="2"/>
          </rPr>
          <t>MG;</t>
        </r>
        <r>
          <rPr>
            <sz val="10"/>
            <color indexed="81"/>
            <rFont val="Segoe UI"/>
            <family val="2"/>
          </rPr>
          <t xml:space="preserve">
Pará - </t>
        </r>
        <r>
          <rPr>
            <b/>
            <sz val="10"/>
            <color indexed="81"/>
            <rFont val="Segoe UI"/>
            <family val="2"/>
          </rPr>
          <t>PA;</t>
        </r>
        <r>
          <rPr>
            <sz val="10"/>
            <color indexed="81"/>
            <rFont val="Segoe UI"/>
            <family val="2"/>
          </rPr>
          <t xml:space="preserve"> Paraíba - </t>
        </r>
        <r>
          <rPr>
            <b/>
            <sz val="10"/>
            <color indexed="81"/>
            <rFont val="Segoe UI"/>
            <family val="2"/>
          </rPr>
          <t>PB;</t>
        </r>
        <r>
          <rPr>
            <sz val="10"/>
            <color indexed="81"/>
            <rFont val="Segoe UI"/>
            <family val="2"/>
          </rPr>
          <t xml:space="preserve"> Paraná - </t>
        </r>
        <r>
          <rPr>
            <b/>
            <sz val="10"/>
            <color indexed="81"/>
            <rFont val="Segoe UI"/>
            <family val="2"/>
          </rPr>
          <t>PR;</t>
        </r>
        <r>
          <rPr>
            <sz val="10"/>
            <color indexed="81"/>
            <rFont val="Segoe UI"/>
            <family val="2"/>
          </rPr>
          <t xml:space="preserve"> Pernambuco - </t>
        </r>
        <r>
          <rPr>
            <b/>
            <sz val="10"/>
            <color indexed="81"/>
            <rFont val="Segoe UI"/>
            <family val="2"/>
          </rPr>
          <t>PE;</t>
        </r>
        <r>
          <rPr>
            <sz val="10"/>
            <color indexed="81"/>
            <rFont val="Segoe UI"/>
            <family val="2"/>
          </rPr>
          <t xml:space="preserve"> 
Piauí - </t>
        </r>
        <r>
          <rPr>
            <b/>
            <sz val="10"/>
            <color indexed="81"/>
            <rFont val="Segoe UI"/>
            <family val="2"/>
          </rPr>
          <t>PI;</t>
        </r>
        <r>
          <rPr>
            <sz val="10"/>
            <color indexed="81"/>
            <rFont val="Segoe UI"/>
            <family val="2"/>
          </rPr>
          <t xml:space="preserve"> Rio de Janeiro - </t>
        </r>
        <r>
          <rPr>
            <b/>
            <sz val="10"/>
            <color indexed="81"/>
            <rFont val="Segoe UI"/>
            <family val="2"/>
          </rPr>
          <t>RJ;</t>
        </r>
        <r>
          <rPr>
            <sz val="10"/>
            <color indexed="81"/>
            <rFont val="Segoe UI"/>
            <family val="2"/>
          </rPr>
          <t xml:space="preserve"> Rio Grande do Norte - </t>
        </r>
        <r>
          <rPr>
            <b/>
            <sz val="10"/>
            <color indexed="81"/>
            <rFont val="Segoe UI"/>
            <family val="2"/>
          </rPr>
          <t>RN;</t>
        </r>
        <r>
          <rPr>
            <sz val="10"/>
            <color indexed="81"/>
            <rFont val="Segoe UI"/>
            <family val="2"/>
          </rPr>
          <t xml:space="preserve"> 
Rio Grande do Sul - </t>
        </r>
        <r>
          <rPr>
            <b/>
            <sz val="10"/>
            <color indexed="81"/>
            <rFont val="Segoe UI"/>
            <family val="2"/>
          </rPr>
          <t>RS;</t>
        </r>
        <r>
          <rPr>
            <sz val="10"/>
            <color indexed="81"/>
            <rFont val="Segoe UI"/>
            <family val="2"/>
          </rPr>
          <t xml:space="preserve"> Rondônia - </t>
        </r>
        <r>
          <rPr>
            <b/>
            <sz val="10"/>
            <color indexed="81"/>
            <rFont val="Segoe UI"/>
            <family val="2"/>
          </rPr>
          <t>RO;</t>
        </r>
        <r>
          <rPr>
            <sz val="10"/>
            <color indexed="81"/>
            <rFont val="Segoe UI"/>
            <family val="2"/>
          </rPr>
          <t xml:space="preserve"> Roraima - </t>
        </r>
        <r>
          <rPr>
            <b/>
            <sz val="10"/>
            <color indexed="81"/>
            <rFont val="Segoe UI"/>
            <family val="2"/>
          </rPr>
          <t>RR;</t>
        </r>
        <r>
          <rPr>
            <sz val="10"/>
            <color indexed="81"/>
            <rFont val="Segoe UI"/>
            <family val="2"/>
          </rPr>
          <t xml:space="preserve"> 
Santa Catarina - </t>
        </r>
        <r>
          <rPr>
            <b/>
            <sz val="10"/>
            <color indexed="81"/>
            <rFont val="Segoe UI"/>
            <family val="2"/>
          </rPr>
          <t>SC;</t>
        </r>
        <r>
          <rPr>
            <sz val="10"/>
            <color indexed="81"/>
            <rFont val="Segoe UI"/>
            <family val="2"/>
          </rPr>
          <t xml:space="preserve"> São Paulo - </t>
        </r>
        <r>
          <rPr>
            <b/>
            <sz val="10"/>
            <color indexed="81"/>
            <rFont val="Segoe UI"/>
            <family val="2"/>
          </rPr>
          <t>SP;</t>
        </r>
        <r>
          <rPr>
            <sz val="10"/>
            <color indexed="81"/>
            <rFont val="Segoe UI"/>
            <family val="2"/>
          </rPr>
          <t xml:space="preserve"> Sergipe - </t>
        </r>
        <r>
          <rPr>
            <b/>
            <sz val="10"/>
            <color indexed="81"/>
            <rFont val="Segoe UI"/>
            <family val="2"/>
          </rPr>
          <t>SE;</t>
        </r>
        <r>
          <rPr>
            <sz val="10"/>
            <color indexed="81"/>
            <rFont val="Segoe UI"/>
            <family val="2"/>
          </rPr>
          <t xml:space="preserve"> 
Tocantins - </t>
        </r>
        <r>
          <rPr>
            <b/>
            <sz val="10"/>
            <color indexed="81"/>
            <rFont val="Segoe UI"/>
            <family val="2"/>
          </rPr>
          <t>TO;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67F4E3-809B-4A68-8611-27B3892B873E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E54F9D4-ED57-4CA7-A301-EB6DD60D527E}" name="WorksheetConnection_Central de Promoções - Mercado Livre.xlsx!Descontos" type="102" refreshedVersion="6" minRefreshableVersion="5">
    <extLst>
      <ext xmlns:x15="http://schemas.microsoft.com/office/spreadsheetml/2010/11/main" uri="{DE250136-89BD-433C-8126-D09CA5730AF9}">
        <x15:connection id="Descontos">
          <x15:rangePr sourceName="_xlcn.WorksheetConnection_CentraldePromoçõesMercadoLivre.xlsxDescontos1"/>
        </x15:connection>
      </ext>
    </extLst>
  </connection>
  <connection id="3" xr16:uid="{59592124-9523-48F3-833D-AEFB1415AC5F}" name="WorksheetConnection_Central de Promoções - Mercado Livre.xlsx!Precificação" type="102" refreshedVersion="6" minRefreshableVersion="5">
    <extLst>
      <ext xmlns:x15="http://schemas.microsoft.com/office/spreadsheetml/2010/11/main" uri="{DE250136-89BD-433C-8126-D09CA5730AF9}">
        <x15:connection id="Precificação" autoDelete="1">
          <x15:rangePr sourceName="_xlcn.WorksheetConnection_CentraldePromoçõesMercadoLivre.xlsxPrecificação1"/>
        </x15:connection>
      </ext>
    </extLst>
  </connection>
  <connection id="4" xr16:uid="{F76CE591-1878-4F01-BBAA-CE0523D6701E}" name="WorksheetConnection_Gestão de Anúncio - Mercado Livre.xlsx!Vendas" type="102" refreshedVersion="6" minRefreshableVersion="5">
    <extLst>
      <ext xmlns:x15="http://schemas.microsoft.com/office/spreadsheetml/2010/11/main" uri="{DE250136-89BD-433C-8126-D09CA5730AF9}">
        <x15:connection id="Vendas">
          <x15:rangePr sourceName="_xlcn.WorksheetConnection_GestãodeAnúncioMercadoLivre.xlsxVendas1"/>
        </x15:connection>
      </ext>
    </extLst>
  </connection>
</connections>
</file>

<file path=xl/sharedStrings.xml><?xml version="1.0" encoding="utf-8"?>
<sst xmlns="http://schemas.openxmlformats.org/spreadsheetml/2006/main" count="3959" uniqueCount="2050">
  <si>
    <t>Cód. do Produto</t>
  </si>
  <si>
    <t>Nome</t>
  </si>
  <si>
    <t>Desconto</t>
  </si>
  <si>
    <t>Data Início</t>
  </si>
  <si>
    <t>Data Fim</t>
  </si>
  <si>
    <t>Preço</t>
  </si>
  <si>
    <t>Preço Final</t>
  </si>
  <si>
    <t>Link</t>
  </si>
  <si>
    <t>#2708946936</t>
  </si>
  <si>
    <t>Boia Tanque Mb Sprinter 310d /312d /311cdi /313cdi /412cdi</t>
  </si>
  <si>
    <t>#3622844781</t>
  </si>
  <si>
    <t>Refletor Parachoque Tras. Lado Direito Sprinter 415/515</t>
  </si>
  <si>
    <t>#4477807312</t>
  </si>
  <si>
    <t>Tubo De Retorno Bico Injetor Sprinter 311/313 A6110708432</t>
  </si>
  <si>
    <t xml:space="preserve">#5070948140 </t>
  </si>
  <si>
    <t>Par Anel Sincronizado 4a/5a Caixa G3-60/61 - O355 O365 O364</t>
  </si>
  <si>
    <t>#3611174137</t>
  </si>
  <si>
    <t>Sprinter Tubo De Agua De Refrigeração Cdi | Mercedes-benz</t>
  </si>
  <si>
    <t>#3738471296</t>
  </si>
  <si>
    <t>Sprinter Alavanca De Freio De Mão Cdi</t>
  </si>
  <si>
    <t>#3374507223</t>
  </si>
  <si>
    <t>Relógio Indicador De Pressão De Óleo Turotest 52mm 5bar 12v</t>
  </si>
  <si>
    <t>#3448189439</t>
  </si>
  <si>
    <t>Filtro De Combustível 500ml Bosch - O Par (imperdível)</t>
  </si>
  <si>
    <t>#3658567815</t>
  </si>
  <si>
    <t>Lâmpada Farol H7 12v 55w Philips Original Halogena</t>
  </si>
  <si>
    <t>#4957073278</t>
  </si>
  <si>
    <t>Anúncio</t>
  </si>
  <si>
    <t xml:space="preserve">#3793372071 </t>
  </si>
  <si>
    <t>Válvula De Admissão Vs2770 - Eaton - 20 Graus (6 Peças)</t>
  </si>
  <si>
    <t>#4477462426</t>
  </si>
  <si>
    <t>Disco De Tacógrafo Diário 125x24 (caixa Com 100 Unidades)</t>
  </si>
  <si>
    <t>#4595808644</t>
  </si>
  <si>
    <t>Par Lâmpada Farol H7 12v 55w Philips Original Halogena</t>
  </si>
  <si>
    <t>#3622845355</t>
  </si>
  <si>
    <t>Refletor Parachoque Tras. Lado Esquerdo Sprinter 415/515</t>
  </si>
  <si>
    <t xml:space="preserve">#3729436287 </t>
  </si>
  <si>
    <t>Par Pistão Para Motor Om366la Forjado E Repotenciado Mtu</t>
  </si>
  <si>
    <t>#3837344933</t>
  </si>
  <si>
    <t>Filtro Ar - Ducato 2.5 2.8, Boxer 2.5 2.8, Jumper 2.5 2.8</t>
  </si>
  <si>
    <t>#3842676429</t>
  </si>
  <si>
    <t>Tubo Flexível Freio Dianteiro Ducato 300/4628</t>
  </si>
  <si>
    <t>#4582230258</t>
  </si>
  <si>
    <t>Kit - Boia Tanque Mb Sprinter + Borracha Da Boia Do Tanque</t>
  </si>
  <si>
    <t>Par Lâmpadas Farol Baixo E Alto H4 Philips Original 12v</t>
  </si>
  <si>
    <t>#5135720716</t>
  </si>
  <si>
    <t>Kit Lampada Farol Alto Baixo E Lanterna Foco Duplo H1 H7 T10</t>
  </si>
  <si>
    <t>#3666107331</t>
  </si>
  <si>
    <t>Capa Câmbio De Marcha Moletom Com Capuz Preto E Vermelho</t>
  </si>
  <si>
    <t>Thiago</t>
  </si>
  <si>
    <t>Terminal Direção L. Dir Sprinter 416/516 2020</t>
  </si>
  <si>
    <t>#3348551743</t>
  </si>
  <si>
    <t>#3361001649</t>
  </si>
  <si>
    <t>Sensor De Pressão De Oleo De 0-5 Bar - Dual (dois Comandos)</t>
  </si>
  <si>
    <t>Status</t>
  </si>
  <si>
    <t>Lanterna Tras. Sprinter L. Direito 314/416/516 Furgão 2020</t>
  </si>
  <si>
    <t>#3348584485</t>
  </si>
  <si>
    <t xml:space="preserve">                                          CENTRAL DE PROMOÇÕES</t>
  </si>
  <si>
    <t>#3374596069</t>
  </si>
  <si>
    <t>Tacômetro C/ Ajuste P/ W Alternador 3500rpm 12/24v Preto</t>
  </si>
  <si>
    <t>#3461036295</t>
  </si>
  <si>
    <t>Terminal Direção L. Esquerdo Sprinter 416 / 516 2020</t>
  </si>
  <si>
    <t>#3624934593</t>
  </si>
  <si>
    <t>Válvula De Torque Da Turbina Sprinter 312 313 413 0005450527</t>
  </si>
  <si>
    <t>#3639871819</t>
  </si>
  <si>
    <t>Tubo Guia Da Vareta De Óleo Sprinter 310 Original 70993005e</t>
  </si>
  <si>
    <t>#3654317079</t>
  </si>
  <si>
    <t>Lâmpada Farol Baixo E Alto H4 Philips Original 12v 12342</t>
  </si>
  <si>
    <t>#3678486959</t>
  </si>
  <si>
    <t>Kit 2 Lâmpada Philips Crystal Vision Ultra H4 55w-12v</t>
  </si>
  <si>
    <t>#3689361937</t>
  </si>
  <si>
    <t>Kit 3 Caixas Disco Tacógrafo Semanal 180km 7dias Vdo</t>
  </si>
  <si>
    <t>#3714128911</t>
  </si>
  <si>
    <t>Retentor Tampa Distribuição Om355 - 3459977747/ 3449977746</t>
  </si>
  <si>
    <t>#3717000035</t>
  </si>
  <si>
    <t>Retentor Da Roda Dianteira Mbb 321/1111/1113 0009973446</t>
  </si>
  <si>
    <t>#3717205475</t>
  </si>
  <si>
    <t>#3718769374</t>
  </si>
  <si>
    <t>#3722434654</t>
  </si>
  <si>
    <t>Lanterna Traseira P/ Sprinter Esquerdo 314/416/516</t>
  </si>
  <si>
    <t>#3722549122</t>
  </si>
  <si>
    <t>Lanterna Traseira Carroceria 415 / 515 Esquerdo</t>
  </si>
  <si>
    <t>#3729364675</t>
  </si>
  <si>
    <t>Mecanismo Limpador Para-brisa Sprinter 310/311/312/313cdi</t>
  </si>
  <si>
    <t>#3754185396</t>
  </si>
  <si>
    <t>Sensor De Óleo Vdo 0 A 10 Bar</t>
  </si>
  <si>
    <t>#3789964608</t>
  </si>
  <si>
    <t>#3793388171</t>
  </si>
  <si>
    <t>Válvula De Admissão Vs1157 - Eaton - 45 Graus (6 Peças)</t>
  </si>
  <si>
    <t>#3797951938</t>
  </si>
  <si>
    <t>Manômetro Pressão Turbina 0 A 2kg C/ Cabo</t>
  </si>
  <si>
    <t>#3807425245</t>
  </si>
  <si>
    <t>Válvula De Escape Vs1158 - Eaton - 45 Graus (2 Peças)</t>
  </si>
  <si>
    <t>Válvula De Admissão Vs1136 - Auto Técnica - 60 Graus (2 Pçs)</t>
  </si>
  <si>
    <t>#3810090387</t>
  </si>
  <si>
    <t>#3810102663</t>
  </si>
  <si>
    <t>Válvula De Admissão Vs1136 - Auto Técnica - 60 Graus (6 Pçs)</t>
  </si>
  <si>
    <t>#3810548977</t>
  </si>
  <si>
    <t>Válvula De Escape Vs1137 - Auto Técnica - 60 Graus (2 Pçs)</t>
  </si>
  <si>
    <t>#3810560993</t>
  </si>
  <si>
    <t>Válvula De Escape Vs1137 - Auto Técnica - 60 Graus (6 Pçs)</t>
  </si>
  <si>
    <t>#3842165551</t>
  </si>
  <si>
    <t>Mangueira Respiro Motor Fiat Ducato 2.8 1999 Cód 500336538</t>
  </si>
  <si>
    <t>#3859451769</t>
  </si>
  <si>
    <t>Tubo Flexível De Freio Traseiro 280mm</t>
  </si>
  <si>
    <t>Freio De Mão Sprinter Cdi Alavanca 313 2006 2007 2008 2009</t>
  </si>
  <si>
    <t>Encanamento Do Cilindro Da Embreagem Da Sprinter 415/515</t>
  </si>
  <si>
    <t>#4561957876</t>
  </si>
  <si>
    <t>#4575547698</t>
  </si>
  <si>
    <t>Correia Alternador Da Sprinter 416 516 - 0049931796</t>
  </si>
  <si>
    <t>#4651577734</t>
  </si>
  <si>
    <t>Regulador Sprinter 415/515 2.2 Diesel Original Valeo</t>
  </si>
  <si>
    <t>#4736924160</t>
  </si>
  <si>
    <t>Retentor Da Tampa Distribuição Om352/314/366 3449977446</t>
  </si>
  <si>
    <t>#4764002380</t>
  </si>
  <si>
    <t>Sensor De Óleo 0 A 25 Bar Rosca 1/8</t>
  </si>
  <si>
    <t>#4783780204</t>
  </si>
  <si>
    <t>Tanque De Combustível Galvanizado 140 Litros Mercedes 1113</t>
  </si>
  <si>
    <t>#4943516640</t>
  </si>
  <si>
    <t>Válvula De Escape Vs1158 - Eaton - 45 Graus (6 Peças)</t>
  </si>
  <si>
    <t>#4959073826</t>
  </si>
  <si>
    <t>Embreagem Viscosa 1932.238 Modefer</t>
  </si>
  <si>
    <t>#4980384522</t>
  </si>
  <si>
    <t>Válvula De Admissão Vs1157 - Eaton - 45 Graus (2 Peças)</t>
  </si>
  <si>
    <t>#4982939386</t>
  </si>
  <si>
    <t>Válvula De Admissão Vs2770 - Eaton - 20 Graus (2 Peças)</t>
  </si>
  <si>
    <t>#5016336264</t>
  </si>
  <si>
    <t>Par Disco Freio Dianteiro Ducato 2.8 Aro 15 - Hipper Freios</t>
  </si>
  <si>
    <t>#5031089356</t>
  </si>
  <si>
    <t>Par Disco Freio Sólido Traseiro Ducato Aro 15 Hipper Freios</t>
  </si>
  <si>
    <t>#5042079580</t>
  </si>
  <si>
    <t>Correia Dentada Motores 152 Dentes 2.8 8v Eletrônico</t>
  </si>
  <si>
    <t>#5045755448</t>
  </si>
  <si>
    <t>Cabo Velocímetro Ducato Boxer Jumper 2001 Cabovel 149105</t>
  </si>
  <si>
    <t>#5079229346</t>
  </si>
  <si>
    <t>Kit De Filtro De Transmissão Donaldson P552478</t>
  </si>
  <si>
    <t>#5082694220</t>
  </si>
  <si>
    <t>Sapatas De Freio Mazzicar Ducato 2000-2005</t>
  </si>
  <si>
    <t xml:space="preserve">#5095183610 </t>
  </si>
  <si>
    <t>Par Pivô Suspensão Master Dianteiro Inferior Esq. Ou Dir.</t>
  </si>
  <si>
    <t>#5099370216</t>
  </si>
  <si>
    <t>Tirante/freio/mao Menor 64 Cm. Mb O362/o364/oh1313</t>
  </si>
  <si>
    <t>#5166642696</t>
  </si>
  <si>
    <t>Pino Manga Eixo 1111 1113 Lp321 35,60mm</t>
  </si>
  <si>
    <t>#5166642698</t>
  </si>
  <si>
    <t>Pino Manga Eixo 1111 1113 Lp321 35,80mm</t>
  </si>
  <si>
    <t>#5166642700</t>
  </si>
  <si>
    <t>Pino Manga Eixo 1111 1113 Lp321 35,10mm</t>
  </si>
  <si>
    <t>#5166642702</t>
  </si>
  <si>
    <t>Pino Manga Eixo 1111 1113 Lp321 35,70mm</t>
  </si>
  <si>
    <t>#5166668370</t>
  </si>
  <si>
    <t>Pino Manga Eixo 1111 1113 Lp321 35,90mm</t>
  </si>
  <si>
    <t>Porta Completa Esquerda MB 608 708 AGL - Vidro de Subir</t>
  </si>
  <si>
    <t>#3920869323</t>
  </si>
  <si>
    <t>#5214366924</t>
  </si>
  <si>
    <t>Parabarro Kia Certato 2009 A 2003 Direito</t>
  </si>
  <si>
    <t>Jogo Anel De Pistão Para Motor Om366LA OM366 (par)</t>
  </si>
  <si>
    <t>#3958851585</t>
  </si>
  <si>
    <t>Ativado</t>
  </si>
  <si>
    <t>Pausado</t>
  </si>
  <si>
    <t>Kit 3 Caixas Disco Tacógrafo Semanal 125km 7dias Vdo</t>
  </si>
  <si>
    <t>#3689463233</t>
  </si>
  <si>
    <t>#3877957247</t>
  </si>
  <si>
    <t>Farol Para Ducato 94/05, Boxer 97/04 Lado Esquerdo</t>
  </si>
  <si>
    <t>#4498876918</t>
  </si>
  <si>
    <t>Farol Sealed Beam 140mm 12v Original General Eletric</t>
  </si>
  <si>
    <t>#4498855500</t>
  </si>
  <si>
    <t>General Eletronic Farol Sealed Beam 140mm 12v Original</t>
  </si>
  <si>
    <t>#2033240940</t>
  </si>
  <si>
    <t>Pistão Forjado Para Motor Om366la Repotenciado Mtu</t>
  </si>
  <si>
    <t>#3375753069</t>
  </si>
  <si>
    <t>Sensor De Pressão De Óleo 0 A 25 Bar Rosca 1/8</t>
  </si>
  <si>
    <t>#3810973422</t>
  </si>
  <si>
    <t>Indicador De Temperatura 40º A 120º 12v 60mm</t>
  </si>
  <si>
    <t>#3380556387</t>
  </si>
  <si>
    <t>Manômetro Pressão Óleo 0 A 5 Bar 12v 60mm</t>
  </si>
  <si>
    <t>#3739003915</t>
  </si>
  <si>
    <t>Farol Para Ducato 94/05, Boxer 97/04 Lado Esquerdo E Direito</t>
  </si>
  <si>
    <t>#3792536284</t>
  </si>
  <si>
    <t>Termômetro Mecânico Preto 40º A 100ºc 60mm</t>
  </si>
  <si>
    <t>Kit 2 Faróis Sealed Beam 140mm 12v Original General Eletric</t>
  </si>
  <si>
    <t>#4667442936</t>
  </si>
  <si>
    <t>#4763921658</t>
  </si>
  <si>
    <t>Tubo De Agua De Refrigeração Da Sprinter</t>
  </si>
  <si>
    <t>#3609706711</t>
  </si>
  <si>
    <t>Spray Lubrificante Desengripante Anti-ferrugem Car Lub 300ml</t>
  </si>
  <si>
    <t>#3617889069</t>
  </si>
  <si>
    <t>Conjunto Mangueira Hidrovácuo + Acoplamento Sprinter</t>
  </si>
  <si>
    <t>#4423764682</t>
  </si>
  <si>
    <t>Limpa Pneus Premium - Radnaq 500ml</t>
  </si>
  <si>
    <t>#4501231134</t>
  </si>
  <si>
    <t>Mangueira Aquecimento Mercedes-benz A9014351225</t>
  </si>
  <si>
    <t>#2719734554</t>
  </si>
  <si>
    <t>Mecanismo Limpador Sprinter 310/311/312/313cdi 9018200081</t>
  </si>
  <si>
    <t>#3360870643</t>
  </si>
  <si>
    <t>Manômetro Pressão Óleo Mecânico 0-10 Bar 52mm</t>
  </si>
  <si>
    <t>#3582103125</t>
  </si>
  <si>
    <t>Relogio Indicador De Pressao Oleo 52mm 5bar 12v Mbenz</t>
  </si>
  <si>
    <t>#3624928527</t>
  </si>
  <si>
    <t>Acabamento Inferior Do Farol Do Lado Esquerdo - Sprinter</t>
  </si>
  <si>
    <t>#3640866765</t>
  </si>
  <si>
    <t>Cabo Abertura Capo Sprinter C/puxador De Metal - 9017500359</t>
  </si>
  <si>
    <t>#3678772041</t>
  </si>
  <si>
    <t>Manomêtro De Turbo Mercedes Benz 1kg 52 Mm 1 Bar Turotest</t>
  </si>
  <si>
    <t>#4481287492</t>
  </si>
  <si>
    <t>Mangueira Hidrovácuo Sprinter 312 9014351225 - Original</t>
  </si>
  <si>
    <t>#4530820636</t>
  </si>
  <si>
    <t>Jogo De Chave Torx Tipo Canivete 8pçs - King Tony 20308pr</t>
  </si>
  <si>
    <t>#4582160862</t>
  </si>
  <si>
    <t>Borracha Da Boia Do Tanque Sprinter - Original 6384710379</t>
  </si>
  <si>
    <t>#4604996266</t>
  </si>
  <si>
    <t>Kit Disco De Tacógrafo Diário 125x24 3 Caixas Super Promoção</t>
  </si>
  <si>
    <t>Preço anunciado</t>
  </si>
  <si>
    <t>Líquido a receber</t>
  </si>
  <si>
    <t>Frete</t>
  </si>
  <si>
    <t>Tarifa</t>
  </si>
  <si>
    <t>Valor</t>
  </si>
  <si>
    <t>Custo Fixo</t>
  </si>
  <si>
    <t>PRECIFICAÇÃO DE PRODUTOS</t>
  </si>
  <si>
    <t>SKU</t>
  </si>
  <si>
    <t>M008636</t>
  </si>
  <si>
    <t>M0012680</t>
  </si>
  <si>
    <t>E002679X</t>
  </si>
  <si>
    <t>-</t>
  </si>
  <si>
    <t>M0013410</t>
  </si>
  <si>
    <t>M004882</t>
  </si>
  <si>
    <t>M008580</t>
  </si>
  <si>
    <t>E000121</t>
  </si>
  <si>
    <t>M0012897</t>
  </si>
  <si>
    <t>E005690</t>
  </si>
  <si>
    <t>M0010668</t>
  </si>
  <si>
    <t>E005441</t>
  </si>
  <si>
    <t>M006697</t>
  </si>
  <si>
    <t>M0050015</t>
  </si>
  <si>
    <t>M008636 
M0013249</t>
  </si>
  <si>
    <t>R006209KIT</t>
  </si>
  <si>
    <t>M0050009</t>
  </si>
  <si>
    <t>M0010980</t>
  </si>
  <si>
    <t>M004147
M009282
M006207</t>
  </si>
  <si>
    <t>M006209</t>
  </si>
  <si>
    <t>M009282</t>
  </si>
  <si>
    <t>M0012940</t>
  </si>
  <si>
    <t>M002862</t>
  </si>
  <si>
    <t>M0012939</t>
  </si>
  <si>
    <t>M000306</t>
  </si>
  <si>
    <t>M0011080</t>
  </si>
  <si>
    <t>M004428</t>
  </si>
  <si>
    <t>E003324</t>
  </si>
  <si>
    <t>#4595796218</t>
  </si>
  <si>
    <t>M0011931</t>
  </si>
  <si>
    <t>E008308</t>
  </si>
  <si>
    <t>M000257</t>
  </si>
  <si>
    <t>M006975</t>
  </si>
  <si>
    <t>M0012028</t>
  </si>
  <si>
    <t>M0012079</t>
  </si>
  <si>
    <t>M002998</t>
  </si>
  <si>
    <t>LN0004</t>
  </si>
  <si>
    <t>M001787</t>
  </si>
  <si>
    <t>M005123</t>
  </si>
  <si>
    <t>M002196</t>
  </si>
  <si>
    <t>M001786</t>
  </si>
  <si>
    <t>E002275</t>
  </si>
  <si>
    <t>E002016</t>
  </si>
  <si>
    <t>RE001084</t>
  </si>
  <si>
    <t>E003391</t>
  </si>
  <si>
    <t>M0011146</t>
  </si>
  <si>
    <t>M004068</t>
  </si>
  <si>
    <t>LNR0001</t>
  </si>
  <si>
    <t>M006674</t>
  </si>
  <si>
    <t>M0012679</t>
  </si>
  <si>
    <t>M0012678</t>
  </si>
  <si>
    <t>M003714</t>
  </si>
  <si>
    <t>M003126</t>
  </si>
  <si>
    <t>E005533</t>
  </si>
  <si>
    <t>E005701</t>
  </si>
  <si>
    <t>M007953</t>
  </si>
  <si>
    <t>M006392</t>
  </si>
  <si>
    <t>M003993</t>
  </si>
  <si>
    <t>M004011</t>
  </si>
  <si>
    <t>M004013</t>
  </si>
  <si>
    <t>M006654</t>
  </si>
  <si>
    <t>Par Braço Axial Sprinter 416/516 Lado Dir/esq 2020 Em Diante</t>
  </si>
  <si>
    <t>#5287714654</t>
  </si>
  <si>
    <t>M009132</t>
  </si>
  <si>
    <t>Tampa Do Filtro De Ar S/ Sensor Sprinter 310 A0010949506</t>
  </si>
  <si>
    <t>TIPO DE ANÚNCIO:</t>
  </si>
  <si>
    <t>FRETE:</t>
  </si>
  <si>
    <t>VALOR DO ITEM:</t>
  </si>
  <si>
    <t>INFORMAÇÕES DO PRODUTO</t>
  </si>
  <si>
    <t>PREÇO DO PRODUTO:</t>
  </si>
  <si>
    <t>TARIFAS DE VENDA:</t>
  </si>
  <si>
    <t>ENVIOS:</t>
  </si>
  <si>
    <t>CUSTO FIXO:</t>
  </si>
  <si>
    <t>TOTAL A RECEBER:</t>
  </si>
  <si>
    <t>MERCADO LIVRE:</t>
  </si>
  <si>
    <t>VENDAS</t>
  </si>
  <si>
    <t>Nº Venda</t>
  </si>
  <si>
    <t>Entregue</t>
  </si>
  <si>
    <t>Cancelada</t>
  </si>
  <si>
    <t>Observação</t>
  </si>
  <si>
    <t>#2000007302119730</t>
  </si>
  <si>
    <t>Carteira Porta Documentos Para Veículos Personalizado.</t>
  </si>
  <si>
    <t>#2000007618450262</t>
  </si>
  <si>
    <t>#2000007612386294</t>
  </si>
  <si>
    <t>#2000007647551322</t>
  </si>
  <si>
    <t>#2000007673691066</t>
  </si>
  <si>
    <t>#2000005475263313</t>
  </si>
  <si>
    <t>#2000007734893516</t>
  </si>
  <si>
    <t>Spray Anti-ferrug/lubrif300ml</t>
  </si>
  <si>
    <t>#2000007757480402</t>
  </si>
  <si>
    <t>Qtd</t>
  </si>
  <si>
    <t>Preço unidade</t>
  </si>
  <si>
    <t>Farol Sealed Beam 180mm 12v | General Eletric Original</t>
  </si>
  <si>
    <t>Cancelou porque não podia esperar o produto.</t>
  </si>
  <si>
    <t>#2000007827277140</t>
  </si>
  <si>
    <t>#2000007850976906</t>
  </si>
  <si>
    <t>#2000007854351004</t>
  </si>
  <si>
    <t>#2000007863941342</t>
  </si>
  <si>
    <t>Rótulos de Linha</t>
  </si>
  <si>
    <t>Total Geral</t>
  </si>
  <si>
    <t>jan</t>
  </si>
  <si>
    <t>fev</t>
  </si>
  <si>
    <t>Rótulos de Coluna</t>
  </si>
  <si>
    <t>#2000007875914922</t>
  </si>
  <si>
    <t>#2000005567921085</t>
  </si>
  <si>
    <t>#2000007907747182</t>
  </si>
  <si>
    <t>#2000007911198618</t>
  </si>
  <si>
    <t>#2000007912183614</t>
  </si>
  <si>
    <t>#2000007917660844</t>
  </si>
  <si>
    <t>Cliente se enganou</t>
  </si>
  <si>
    <t>#2000005592056833</t>
  </si>
  <si>
    <t>#2000007961143584</t>
  </si>
  <si>
    <t>#2000005598334671</t>
  </si>
  <si>
    <t>#2000008039689022</t>
  </si>
  <si>
    <t>#2000005646960771</t>
  </si>
  <si>
    <t>O comprador solicitou o cancelamento porque não podia esperar o produto.</t>
  </si>
  <si>
    <t>#2000008057653084</t>
  </si>
  <si>
    <t>Erro no anúncio</t>
  </si>
  <si>
    <t>#2000008071751848</t>
  </si>
  <si>
    <t>#2000008074324736</t>
  </si>
  <si>
    <t>#2000008074590012</t>
  </si>
  <si>
    <t>#2000008081925458</t>
  </si>
  <si>
    <t>#2000008106379258</t>
  </si>
  <si>
    <t>#2000008108579542</t>
  </si>
  <si>
    <t>#2000005683710927</t>
  </si>
  <si>
    <t>#2000008133674736</t>
  </si>
  <si>
    <t>#2000008191073958</t>
  </si>
  <si>
    <t>Reclamação</t>
  </si>
  <si>
    <t>O comprador disse que a embalagem chegou bem, mas o produto está danificado.</t>
  </si>
  <si>
    <t>#2000008202487664</t>
  </si>
  <si>
    <t>#2000008202510904</t>
  </si>
  <si>
    <t>#2000008203114276</t>
  </si>
  <si>
    <t>#2000008209175020</t>
  </si>
  <si>
    <t>#2000008209182618</t>
  </si>
  <si>
    <t>#2000008252520318</t>
  </si>
  <si>
    <t>Devolução</t>
  </si>
  <si>
    <t>#2000005753161039</t>
  </si>
  <si>
    <t>#2000008257885828</t>
  </si>
  <si>
    <t>Farol Sealed Beam 140mm 12v Original General Eletric
Lado: Direito</t>
  </si>
  <si>
    <t>#2000008269867088</t>
  </si>
  <si>
    <t>#2000008298175908</t>
  </si>
  <si>
    <t>Farol Sealed Beam 140mm 12v | General Eletric Original
Lado: Direito</t>
  </si>
  <si>
    <t>#2000008303857670</t>
  </si>
  <si>
    <t>#2000008336099746</t>
  </si>
  <si>
    <t>#2000008354909482</t>
  </si>
  <si>
    <t>#2000008359360528</t>
  </si>
  <si>
    <t>Farol Sealed Beam 140mm 12v | General Eletric Original</t>
  </si>
  <si>
    <t>#2000008361033692</t>
  </si>
  <si>
    <t>#2000005814153663</t>
  </si>
  <si>
    <t>#2000005814979705</t>
  </si>
  <si>
    <t>Erro na etiqueta</t>
  </si>
  <si>
    <t>#2000008380087402</t>
  </si>
  <si>
    <t>#2000008383177308</t>
  </si>
  <si>
    <t>#2000008391978176</t>
  </si>
  <si>
    <t>Data da Compra</t>
  </si>
  <si>
    <t>#2000008416488222</t>
  </si>
  <si>
    <t>#2000008416517750</t>
  </si>
  <si>
    <t>#2000008476726726</t>
  </si>
  <si>
    <t>#2000008488764526</t>
  </si>
  <si>
    <t>Original Sprinter 312: Mangueira Hidrovácuo - Ref. 901435122</t>
  </si>
  <si>
    <t>Cliente informou que não é compatível</t>
  </si>
  <si>
    <t>#2000008516797732</t>
  </si>
  <si>
    <t>#2000005897447141</t>
  </si>
  <si>
    <t>#2000008525701796</t>
  </si>
  <si>
    <t>#2000008539996152</t>
  </si>
  <si>
    <t>Cliente informou endereço errado</t>
  </si>
  <si>
    <t>#2000008550094394</t>
  </si>
  <si>
    <t>#2000008557804052</t>
  </si>
  <si>
    <t>#2000008573734944</t>
  </si>
  <si>
    <t>#2000005924568433</t>
  </si>
  <si>
    <t>#2000008574506922</t>
  </si>
  <si>
    <t>#2000008582914922</t>
  </si>
  <si>
    <t>#2000008585134654</t>
  </si>
  <si>
    <t>#2000008591358788</t>
  </si>
  <si>
    <t>#2000008604210706</t>
  </si>
  <si>
    <t>#2000008721262932</t>
  </si>
  <si>
    <t>#2000008726201806</t>
  </si>
  <si>
    <t>#2000008855139568</t>
  </si>
  <si>
    <t>#2000006120245333</t>
  </si>
  <si>
    <t>#2000009042361184</t>
  </si>
  <si>
    <t>#2000009261733832</t>
  </si>
  <si>
    <t>#2000006309537249</t>
  </si>
  <si>
    <t>#2000009310520362</t>
  </si>
  <si>
    <t>#2000009312009342</t>
  </si>
  <si>
    <t>#2000009319667764</t>
  </si>
  <si>
    <t>#2000009346773970</t>
  </si>
  <si>
    <t>#2000009371726374</t>
  </si>
  <si>
    <t>#2000009396380760</t>
  </si>
  <si>
    <t>#2000009396661658</t>
  </si>
  <si>
    <t>#2000009557463192</t>
  </si>
  <si>
    <t>#2000009717600766</t>
  </si>
  <si>
    <t>#2000009955630272</t>
  </si>
  <si>
    <t>#2000009973490088</t>
  </si>
  <si>
    <t>#2000009973724384</t>
  </si>
  <si>
    <t>O comprador disse que o produto não era compatível com seu veículo.</t>
  </si>
  <si>
    <t>#2000010095910860</t>
  </si>
  <si>
    <t>#2000010398578502</t>
  </si>
  <si>
    <t>#2000010400479034</t>
  </si>
  <si>
    <t>Porta Completa Esquerda Mb 608 708 Agl - Vidro De Correr</t>
  </si>
  <si>
    <t>#2000010404120196</t>
  </si>
  <si>
    <t>#2000010409202596</t>
  </si>
  <si>
    <t>#2000007061997799</t>
  </si>
  <si>
    <t>#2000010570573102</t>
  </si>
  <si>
    <t>#2000010577079472</t>
  </si>
  <si>
    <t>Cliente desistiu da compra</t>
  </si>
  <si>
    <t>#2000010618385150</t>
  </si>
  <si>
    <t>#2000010644313686</t>
  </si>
  <si>
    <t>#2000007178572815</t>
  </si>
  <si>
    <t>Terminal Direção L. Esquerdo Sprinter 416 / 516 2020 ...</t>
  </si>
  <si>
    <t>#2000010749721050</t>
  </si>
  <si>
    <t>#2000007202509359</t>
  </si>
  <si>
    <t>Trim1</t>
  </si>
  <si>
    <t>2025</t>
  </si>
  <si>
    <t>PROMOÇÕES:</t>
  </si>
  <si>
    <t>Expira hoje</t>
  </si>
  <si>
    <t>Expirado</t>
  </si>
  <si>
    <t>Anúncios ativos:</t>
  </si>
  <si>
    <t>Anúncios pausados:</t>
  </si>
  <si>
    <t>Reclamações:</t>
  </si>
  <si>
    <t>Vendas canceladas:</t>
  </si>
  <si>
    <t>Quase expirando</t>
  </si>
  <si>
    <t>Expira amanhã</t>
  </si>
  <si>
    <t>Sem promoção</t>
  </si>
  <si>
    <t>Programado</t>
  </si>
  <si>
    <t>Comprador não quis mais o produto</t>
  </si>
  <si>
    <t>DESCONTO:</t>
  </si>
  <si>
    <t>E003224</t>
  </si>
  <si>
    <t>M004010</t>
  </si>
  <si>
    <t>#2000010808305594</t>
  </si>
  <si>
    <t>Vendas concluídas:</t>
  </si>
  <si>
    <t>Bolsa Lateral Porta Caminhão Mb Hpn Ln 709 710 Cinza</t>
  </si>
  <si>
    <t>#3988896269</t>
  </si>
  <si>
    <t>M000813</t>
  </si>
  <si>
    <t>#5301960562</t>
  </si>
  <si>
    <t>Par Bolsa Lateral Porta Caminhão Mb Hpn Ln 709 710 Cinza</t>
  </si>
  <si>
    <t>#3989307807</t>
  </si>
  <si>
    <t>Par Terminal Direção L. Esq E Dir. Sprinter 416 / 516 2020..</t>
  </si>
  <si>
    <t>#2000010940515752</t>
  </si>
  <si>
    <t>Acréscimo de R$ 71,63 do frete.</t>
  </si>
  <si>
    <t>mar</t>
  </si>
  <si>
    <t>#5308976398</t>
  </si>
  <si>
    <t>M005954</t>
  </si>
  <si>
    <t>Mola Patim Freio Dianteiro Traseiro 245mm 3889937110</t>
  </si>
  <si>
    <t>#2000010991724522</t>
  </si>
  <si>
    <t>#2000007366574631</t>
  </si>
  <si>
    <t>#2000011015268300</t>
  </si>
  <si>
    <t>Acréscimo de R$ 143,26 do frete.</t>
  </si>
  <si>
    <t>UF</t>
  </si>
  <si>
    <t>Nome/Razão Social</t>
  </si>
  <si>
    <t>CPF/CNPJ</t>
  </si>
  <si>
    <t>290.799.928-10</t>
  </si>
  <si>
    <t>SP</t>
  </si>
  <si>
    <t>LEANDRO CHIORATO</t>
  </si>
  <si>
    <t>FINCO</t>
  </si>
  <si>
    <t>SÃO BERNARDO DO CAMPO</t>
  </si>
  <si>
    <r>
      <t xml:space="preserve">Farol Sealed Beam 140mm 24v Pradolux Universal
</t>
    </r>
    <r>
      <rPr>
        <i/>
        <sz val="10"/>
        <color theme="1" tint="0.34998626667073579"/>
        <rFont val="Calibri"/>
        <family val="2"/>
        <scheme val="minor"/>
      </rPr>
      <t>M0010668</t>
    </r>
  </si>
  <si>
    <r>
      <t xml:space="preserve">Porta Completa Esquerda Mb 608 708 Agl - Vidro De Correr
</t>
    </r>
    <r>
      <rPr>
        <i/>
        <sz val="10"/>
        <color theme="1" tint="0.34998626667073579"/>
        <rFont val="Calibri"/>
        <family val="2"/>
        <scheme val="minor"/>
      </rPr>
      <t>M006975</t>
    </r>
  </si>
  <si>
    <r>
      <t xml:space="preserve">Sprinter Tubo De Agua De Refrigeração Cdi | Mercedes-benz
</t>
    </r>
    <r>
      <rPr>
        <i/>
        <sz val="10"/>
        <color theme="1" tint="0.34998626667073579"/>
        <rFont val="Calibri"/>
        <family val="2"/>
        <scheme val="minor"/>
      </rPr>
      <t>M004068</t>
    </r>
  </si>
  <si>
    <r>
      <t xml:space="preserve">Tanque De Combustível Galvanizado 140 Litros Mercedes 1113
</t>
    </r>
    <r>
      <rPr>
        <i/>
        <sz val="10"/>
        <color theme="1" tint="0.34998626667073579"/>
        <rFont val="Calibri"/>
        <family val="2"/>
        <scheme val="minor"/>
      </rPr>
      <t>M006674</t>
    </r>
  </si>
  <si>
    <t>Nome do Produto</t>
  </si>
  <si>
    <t>A receber</t>
  </si>
  <si>
    <t>#4007067801</t>
  </si>
  <si>
    <t>M003666</t>
  </si>
  <si>
    <t>Peneira Tanque (base-ferro) C/ Furo 14x1.5mm</t>
  </si>
  <si>
    <t>Contagem de Data da Compra</t>
  </si>
  <si>
    <t>#2000011062941566</t>
  </si>
  <si>
    <t>MATHEUS BRÜGGER</t>
  </si>
  <si>
    <t>178.223.977-45</t>
  </si>
  <si>
    <t>BARRETO</t>
  </si>
  <si>
    <t>NITERÓI</t>
  </si>
  <si>
    <t>RJ</t>
  </si>
  <si>
    <t>RICARDO HOMOTIUK</t>
  </si>
  <si>
    <t>224.679.368-80</t>
  </si>
  <si>
    <t>MAZZEI</t>
  </si>
  <si>
    <t>SÃO PAULO</t>
  </si>
  <si>
    <t>268.005.208-02</t>
  </si>
  <si>
    <t>AV.BEIRA MAR</t>
  </si>
  <si>
    <t>OZELI PIRES</t>
  </si>
  <si>
    <t>CENTRO</t>
  </si>
  <si>
    <t>ILHA COMPRIDA</t>
  </si>
  <si>
    <t>Município</t>
  </si>
  <si>
    <t>MARCELO MARINHO</t>
  </si>
  <si>
    <t>426.132.878-02</t>
  </si>
  <si>
    <t>SUMARÉ</t>
  </si>
  <si>
    <t>RUA GALVÃO, 54</t>
  </si>
  <si>
    <t>ESTRADA SERVIDÃO PÚBLICA PERPÉTUA, 450</t>
  </si>
  <si>
    <t>AVENIDA MAZZEI, 146</t>
  </si>
  <si>
    <t>CEP</t>
  </si>
  <si>
    <t>#2000007389341663</t>
  </si>
  <si>
    <t>JOÃO ANDRE DOMINGOS</t>
  </si>
  <si>
    <t>580.406.686-20</t>
  </si>
  <si>
    <t>RUI BARBOSA, 200</t>
  </si>
  <si>
    <t xml:space="preserve">MUZAMBINHO </t>
  </si>
  <si>
    <t>MG</t>
  </si>
  <si>
    <t>#2000007270846767</t>
  </si>
  <si>
    <t>UNIÃO DE TRANSPORTES TUPANTUR</t>
  </si>
  <si>
    <t>01.817.461/0001-14</t>
  </si>
  <si>
    <t>AVENIDA SALVADOR, 618</t>
  </si>
  <si>
    <t>TUPANDI</t>
  </si>
  <si>
    <t>RS</t>
  </si>
  <si>
    <t>THAIS MORAIS SALGUEIRO GUERRA</t>
  </si>
  <si>
    <t>091.659.386-07</t>
  </si>
  <si>
    <t>RUA PROFESSORA NEIDE LIMA, SN  - QD 36 LOT 11</t>
  </si>
  <si>
    <t>MACAÉ</t>
  </si>
  <si>
    <t>MICHELL CÉLIO MARTINS LIMA</t>
  </si>
  <si>
    <t>017.323.106-37</t>
  </si>
  <si>
    <t>RUA PADRE BAIÃO, 283</t>
  </si>
  <si>
    <t>GUIDOVAL</t>
  </si>
  <si>
    <t>ADRIANO FERNANDES</t>
  </si>
  <si>
    <t>218.938.728-07</t>
  </si>
  <si>
    <t>RUA FREI TARCÍSIO CORRÊA, 715</t>
  </si>
  <si>
    <t>MINERADORA</t>
  </si>
  <si>
    <t xml:space="preserve">UBATUBA </t>
  </si>
  <si>
    <t>LILIAN SILVA</t>
  </si>
  <si>
    <t>342.864.538-39</t>
  </si>
  <si>
    <t>RUA JOSÉ DA SILVA RIBEIRO, 420</t>
  </si>
  <si>
    <t>VILA ANDRADE</t>
  </si>
  <si>
    <t>WESLEY MACHADO GUIMARAES</t>
  </si>
  <si>
    <t>879.003.606-97</t>
  </si>
  <si>
    <t>AVENIDA LISBOA, 455</t>
  </si>
  <si>
    <t>GRÃ-DUQUESA</t>
  </si>
  <si>
    <t>GOVERNADOR VALADARES</t>
  </si>
  <si>
    <t>GUILHERME SIQUEIRA</t>
  </si>
  <si>
    <t>449.677.388-00</t>
  </si>
  <si>
    <t>RUA BENEDITO AMÂNCIO DE CAMARGO, 187</t>
  </si>
  <si>
    <t>JARDIM GUARUJA</t>
  </si>
  <si>
    <t xml:space="preserve">ITAPIRA </t>
  </si>
  <si>
    <t>608.770.492-20</t>
  </si>
  <si>
    <t>TRAVESSA WE-73-A, 1921</t>
  </si>
  <si>
    <t>COQUEIRO</t>
  </si>
  <si>
    <t xml:space="preserve">	ANANINDEUA</t>
  </si>
  <si>
    <t>PA</t>
  </si>
  <si>
    <t>ALEXANDRO DE LARA</t>
  </si>
  <si>
    <t>034.569.039-79</t>
  </si>
  <si>
    <t>RUA LEONILDA SIBILA NADOLNY, 470</t>
  </si>
  <si>
    <t>MAUÁ</t>
  </si>
  <si>
    <t xml:space="preserve">COLOMBO </t>
  </si>
  <si>
    <t>PR</t>
  </si>
  <si>
    <t>#2000007416258225</t>
  </si>
  <si>
    <t>Indicador De Combustível Elétrico Turotest 300088 12v 52mm</t>
  </si>
  <si>
    <t>Retentor Bomba D´agua Sabó - 0059970047 / 00288</t>
  </si>
  <si>
    <t>Cliente não sabia que tinha que pagar o frete (a combinar)</t>
  </si>
  <si>
    <t>Descontado -R$ 67,56 da tarifa de venda</t>
  </si>
  <si>
    <r>
      <t xml:space="preserve">Sprinter tubo de agua de refrigeração cdi | mercedes-benz
</t>
    </r>
    <r>
      <rPr>
        <i/>
        <sz val="10"/>
        <color theme="1" tint="0.34998626667073579"/>
        <rFont val="Calibri"/>
        <family val="2"/>
        <scheme val="minor"/>
      </rPr>
      <t>M004068</t>
    </r>
  </si>
  <si>
    <t>Código de Rastreio</t>
  </si>
  <si>
    <t>Data da Entrega</t>
  </si>
  <si>
    <t>AM199968427BR</t>
  </si>
  <si>
    <t>AC392126250BR</t>
  </si>
  <si>
    <t>AC380574644BR</t>
  </si>
  <si>
    <t>Transportadora</t>
  </si>
  <si>
    <t>CORREIOS</t>
  </si>
  <si>
    <t>SPEED WORK</t>
  </si>
  <si>
    <t>AM169425458BR</t>
  </si>
  <si>
    <t>ÁGUIA BRANCA</t>
  </si>
  <si>
    <t>AM111430542BR</t>
  </si>
  <si>
    <t>AM082815375BR</t>
  </si>
  <si>
    <t>AM068737099BR</t>
  </si>
  <si>
    <t>AM051196757BR</t>
  </si>
  <si>
    <t>AM011839586BR</t>
  </si>
  <si>
    <t>AL991926670BR</t>
  </si>
  <si>
    <t>OV933992759BR</t>
  </si>
  <si>
    <t>MARCELO ALEXANDRE FERREIRA</t>
  </si>
  <si>
    <t>255.635.818-10</t>
  </si>
  <si>
    <t>13405-434</t>
  </si>
  <si>
    <t>RUA JUSTO MORETI,132</t>
  </si>
  <si>
    <t>JARDIM ALGODOAL</t>
  </si>
  <si>
    <t>PIRACICABA</t>
  </si>
  <si>
    <t>AA856776256BR</t>
  </si>
  <si>
    <t>ARCO IRIS LTDA </t>
  </si>
  <si>
    <t>02.225.153/0001-62</t>
  </si>
  <si>
    <t>32600-432</t>
  </si>
  <si>
    <t>RUA PAULO AFONSO, 33</t>
  </si>
  <si>
    <t>BRASILÉIA</t>
  </si>
  <si>
    <t>BETIM</t>
  </si>
  <si>
    <t>ELIEUCIO PAIVA</t>
  </si>
  <si>
    <t>392.341.502-87</t>
  </si>
  <si>
    <t>PAULO GOMES</t>
  </si>
  <si>
    <t>169.609.698-75</t>
  </si>
  <si>
    <t>11461-090</t>
  </si>
  <si>
    <t>RUA SÃO JOÃO, 1121</t>
  </si>
  <si>
    <t>GUARUJÁ </t>
  </si>
  <si>
    <t>AL927590075BR</t>
  </si>
  <si>
    <t>MARCELO MAGALHAES</t>
  </si>
  <si>
    <t>305.161.768-70</t>
  </si>
  <si>
    <t>05679-165</t>
  </si>
  <si>
    <t>JARDIM PANORAMA</t>
  </si>
  <si>
    <t>AA551940054BR</t>
  </si>
  <si>
    <t>KAROLENE MATOS BRANDÃO</t>
  </si>
  <si>
    <t>038.505.213-89</t>
  </si>
  <si>
    <t>64016-700</t>
  </si>
  <si>
    <t>RUA DR ÁREA LEÃO, 2069</t>
  </si>
  <si>
    <t>TERESINA</t>
  </si>
  <si>
    <t>PI</t>
  </si>
  <si>
    <t>QN120898418BR</t>
  </si>
  <si>
    <t>MORGANA OLIVEIRA</t>
  </si>
  <si>
    <t>029.227.453-09</t>
  </si>
  <si>
    <t>60871-475</t>
  </si>
  <si>
    <t>RUA COPÉRNICO, 179</t>
  </si>
  <si>
    <t>RUA DOUTOR ALBERTO LYRA, 345</t>
  </si>
  <si>
    <t>MESSEJANA</t>
  </si>
  <si>
    <t>FORTALEZA</t>
  </si>
  <si>
    <t>CE</t>
  </si>
  <si>
    <t>AA481418440BR</t>
  </si>
  <si>
    <t>ALEX DE SANTANA</t>
  </si>
  <si>
    <t>297.164.258-56</t>
  </si>
  <si>
    <t>05853-310</t>
  </si>
  <si>
    <t>JARDIM DUPRAT</t>
  </si>
  <si>
    <t>AK625128684BR</t>
  </si>
  <si>
    <t>ARQUIMEDES DA SILVA DA SILVA</t>
  </si>
  <si>
    <t>856.354.644-91</t>
  </si>
  <si>
    <t>54280-547</t>
  </si>
  <si>
    <t>DOIS CARNEIROS</t>
  </si>
  <si>
    <t>JABOATÃO DOS GUARARAPES</t>
  </si>
  <si>
    <t>AA292700979BR</t>
  </si>
  <si>
    <r>
      <t xml:space="preserve">Farol Sealed Beam 140mm 12v | General Eletric Original
</t>
    </r>
    <r>
      <rPr>
        <i/>
        <sz val="10"/>
        <color theme="1" tint="0.34998626667073579"/>
        <rFont val="Calibri"/>
        <family val="2"/>
        <scheme val="minor"/>
      </rPr>
      <t>Lado: Esquerdo</t>
    </r>
  </si>
  <si>
    <r>
      <t xml:space="preserve">Farol Sealed Beam 140mm 12v Original General Eletric
</t>
    </r>
    <r>
      <rPr>
        <i/>
        <sz val="10"/>
        <color theme="1" tint="0.34998626667073579"/>
        <rFont val="Calibri"/>
        <family val="2"/>
        <scheme val="minor"/>
      </rPr>
      <t>Lado: Direito</t>
    </r>
  </si>
  <si>
    <r>
      <t xml:space="preserve">Kit 2 Faróis Sealed Beam 140mm 12v Original General Eletric
</t>
    </r>
    <r>
      <rPr>
        <i/>
        <sz val="10"/>
        <color theme="1" tint="0.34998626667073579"/>
        <rFont val="Calibri"/>
        <family val="2"/>
        <scheme val="minor"/>
      </rPr>
      <t>Lado: Direito</t>
    </r>
  </si>
  <si>
    <t>#2000011180230350</t>
  </si>
  <si>
    <r>
      <t xml:space="preserve">Boia Tanque Mb Sprinter 310d /312d /311cdi /313cdi /412cdi
</t>
    </r>
    <r>
      <rPr>
        <i/>
        <sz val="10"/>
        <color theme="1" tint="0.34998626667073579"/>
        <rFont val="Calibri"/>
        <family val="2"/>
        <scheme val="minor"/>
      </rPr>
      <t>M008636</t>
    </r>
  </si>
  <si>
    <t>LEANDRO CAVALCANTI</t>
  </si>
  <si>
    <t>339.155.468-10</t>
  </si>
  <si>
    <t>24717-470</t>
  </si>
  <si>
    <t>RUA MARECHAL FOX, SN</t>
  </si>
  <si>
    <t>JARDIM CATARINA</t>
  </si>
  <si>
    <t>SÃO GONÇALO</t>
  </si>
  <si>
    <t>Nota Fiscal</t>
  </si>
  <si>
    <t>AC441289415BR</t>
  </si>
  <si>
    <t>10843</t>
  </si>
  <si>
    <t>10820</t>
  </si>
  <si>
    <t>10837</t>
  </si>
  <si>
    <t>10798</t>
  </si>
  <si>
    <t>10773</t>
  </si>
  <si>
    <t>10758</t>
  </si>
  <si>
    <t>10751</t>
  </si>
  <si>
    <t>10721</t>
  </si>
  <si>
    <t>10714</t>
  </si>
  <si>
    <t>10686</t>
  </si>
  <si>
    <t>10685</t>
  </si>
  <si>
    <t>10626</t>
  </si>
  <si>
    <t>10598</t>
  </si>
  <si>
    <t>10553</t>
  </si>
  <si>
    <t>10516</t>
  </si>
  <si>
    <t>JOÃO MAURO ALVES MELO</t>
  </si>
  <si>
    <t>LUIZ ANTONIO DE OLIVEIRA BRANDAO FILHO</t>
  </si>
  <si>
    <t>878.710.174-20</t>
  </si>
  <si>
    <t>59570-000</t>
  </si>
  <si>
    <t>RUA JOAQUIM FERNANDES SOBRAL, 128</t>
  </si>
  <si>
    <t>CEARÁ-MIRIM</t>
  </si>
  <si>
    <t>RN</t>
  </si>
  <si>
    <t>AK481633995BR</t>
  </si>
  <si>
    <t>10480</t>
  </si>
  <si>
    <t>MÁRCIO BARCELOS</t>
  </si>
  <si>
    <t>091.459.137-14</t>
  </si>
  <si>
    <t>29194-767</t>
  </si>
  <si>
    <t>RUA DURVAL BARCELLOS REBUZZI, 20</t>
  </si>
  <si>
    <t>GUAXINDIBA</t>
  </si>
  <si>
    <t>ARACRUZ </t>
  </si>
  <si>
    <t>ES</t>
  </si>
  <si>
    <t>AC178364743BR</t>
  </si>
  <si>
    <t>10479</t>
  </si>
  <si>
    <t>JOAO MAURO ALVES MELO</t>
  </si>
  <si>
    <t>67143-490</t>
  </si>
  <si>
    <t>ANANINDEUA</t>
  </si>
  <si>
    <t>AC167191168BR</t>
  </si>
  <si>
    <t>10467</t>
  </si>
  <si>
    <t>CARMEM SILVA ROCHA PIRES</t>
  </si>
  <si>
    <t>270.421.958-33</t>
  </si>
  <si>
    <t>13477-726</t>
  </si>
  <si>
    <t>JARDIM BOER II</t>
  </si>
  <si>
    <t>RUA DA COMUNIDADE, 802</t>
  </si>
  <si>
    <t>AMERICANA</t>
  </si>
  <si>
    <t>AK458135492BR</t>
  </si>
  <si>
    <t>10462</t>
  </si>
  <si>
    <t>SANDRA ALVES</t>
  </si>
  <si>
    <t>030.166.116-27</t>
  </si>
  <si>
    <t>03238-040</t>
  </si>
  <si>
    <t>PARQUE SÃO LUCAS</t>
  </si>
  <si>
    <t>RUA DEPUTADO MENEZES CORTES, 140</t>
  </si>
  <si>
    <t>AK443346915BR</t>
  </si>
  <si>
    <t>10457</t>
  </si>
  <si>
    <t>PAULO OLIVEIRA</t>
  </si>
  <si>
    <t>052.151.503-38</t>
  </si>
  <si>
    <t>65800-000</t>
  </si>
  <si>
    <t>AVENIDA GOVERNADOR LUIZ ROCHA, 1000</t>
  </si>
  <si>
    <t>BALSAS</t>
  </si>
  <si>
    <t>MA</t>
  </si>
  <si>
    <t>AK437314825BR</t>
  </si>
  <si>
    <t>10450</t>
  </si>
  <si>
    <t>PHILIPE BARRETO</t>
  </si>
  <si>
    <t>073.486.367-56</t>
  </si>
  <si>
    <t>22260-020</t>
  </si>
  <si>
    <t>BARAO DE LUCENA, 124</t>
  </si>
  <si>
    <t>BOTAFOGO</t>
  </si>
  <si>
    <t>RIO DE JANEIRO</t>
  </si>
  <si>
    <t>JULIANA ANDRESSA KONZEN</t>
  </si>
  <si>
    <t>027.769.180-03</t>
  </si>
  <si>
    <t>97940-000</t>
  </si>
  <si>
    <t>INDUSTRIAL II</t>
  </si>
  <si>
    <t>RUA PROGRESSO, 306</t>
  </si>
  <si>
    <t>SALVADOR DAS MISSÕES</t>
  </si>
  <si>
    <t>AK425723456BR</t>
  </si>
  <si>
    <t>10443</t>
  </si>
  <si>
    <t>UBERTEC SERVICE USINAGEM LTDA UBERTEC SERVICE</t>
  </si>
  <si>
    <t>13.746.252/0001-06</t>
  </si>
  <si>
    <t>38400-734</t>
  </si>
  <si>
    <t>AVENIDA AMAZONAS, 1303</t>
  </si>
  <si>
    <t>BRASIL</t>
  </si>
  <si>
    <t>UBERLÂNDIA </t>
  </si>
  <si>
    <t>AK417513257BR</t>
  </si>
  <si>
    <t>10438</t>
  </si>
  <si>
    <t>PAULO ROBERTO BUENO DO PRADO</t>
  </si>
  <si>
    <t>064.569.151-80</t>
  </si>
  <si>
    <t>79603-010</t>
  </si>
  <si>
    <t>AVENIDA CAPITÃO OLINTO MANCINI, 1486</t>
  </si>
  <si>
    <t>JARDIM PRIMAVERIL</t>
  </si>
  <si>
    <t>MS</t>
  </si>
  <si>
    <t>TRÊS LAGOAS</t>
  </si>
  <si>
    <t>AK316876473BR</t>
  </si>
  <si>
    <t>10379</t>
  </si>
  <si>
    <t>CARLOS EDER FABRIS FABRIS</t>
  </si>
  <si>
    <t>036.569.098-81</t>
  </si>
  <si>
    <t>14015-120</t>
  </si>
  <si>
    <t>RUA RUI BARBOSA, 1101</t>
  </si>
  <si>
    <t>RIBEIRÃO PRETO</t>
  </si>
  <si>
    <t>QN277880071BR</t>
  </si>
  <si>
    <t>10342</t>
  </si>
  <si>
    <t>EDUARDO BAUMEIER</t>
  </si>
  <si>
    <t>018.025.117-17</t>
  </si>
  <si>
    <t>22290-030</t>
  </si>
  <si>
    <t>RUA DA PASSAGEM, 75</t>
  </si>
  <si>
    <t>AA207578567BR</t>
  </si>
  <si>
    <t>10310</t>
  </si>
  <si>
    <t>CELSON FREITAS ROCHA JR</t>
  </si>
  <si>
    <t>069.583.856-32</t>
  </si>
  <si>
    <t>10274</t>
  </si>
  <si>
    <t>FERNANDO OLIVEIRA SANTOS</t>
  </si>
  <si>
    <t>071.845.489-81</t>
  </si>
  <si>
    <t>10275</t>
  </si>
  <si>
    <t>JACKSON BASSO</t>
  </si>
  <si>
    <t>034.106.080-10</t>
  </si>
  <si>
    <t>98910-000</t>
  </si>
  <si>
    <t>GLORIA</t>
  </si>
  <si>
    <t>TRÊS DE MAIO</t>
  </si>
  <si>
    <t>QR928439879BR</t>
  </si>
  <si>
    <t>10247</t>
  </si>
  <si>
    <t>ANDERSON BONFIM</t>
  </si>
  <si>
    <t>409.263.896-53</t>
  </si>
  <si>
    <t>32603-064</t>
  </si>
  <si>
    <t>DECAMÃO</t>
  </si>
  <si>
    <t>QR924910725BR</t>
  </si>
  <si>
    <t>10246</t>
  </si>
  <si>
    <t>GUACYRA NIERI</t>
  </si>
  <si>
    <t>301.360.238-43</t>
  </si>
  <si>
    <t>13801-473</t>
  </si>
  <si>
    <t>RUA SÃO MARCOS, 192</t>
  </si>
  <si>
    <t>RUA ESPÍRITO SANTO, 579</t>
  </si>
  <si>
    <t>RS-342, SN</t>
  </si>
  <si>
    <t>VILA BIANCHI</t>
  </si>
  <si>
    <t>MOGI MIRIM</t>
  </si>
  <si>
    <t>QR922222882BR</t>
  </si>
  <si>
    <t>10245</t>
  </si>
  <si>
    <t>ANTONIO JOSE CHERNICHARO</t>
  </si>
  <si>
    <t>155.842.836-49</t>
  </si>
  <si>
    <t>32372-110</t>
  </si>
  <si>
    <t>RUA INVERNO, 30</t>
  </si>
  <si>
    <t>VILA PARIS</t>
  </si>
  <si>
    <t>CONTAGEM</t>
  </si>
  <si>
    <t>SY522359068BR</t>
  </si>
  <si>
    <t>10244</t>
  </si>
  <si>
    <t>THIAGO TOMAZ ROSA DOS SANTOS</t>
  </si>
  <si>
    <t>062.907.041-50</t>
  </si>
  <si>
    <t>78450-200</t>
  </si>
  <si>
    <t>AVENIDA DAS GARÇAS, 557</t>
  </si>
  <si>
    <t>JARDIM II</t>
  </si>
  <si>
    <t>NOVA MUTUM</t>
  </si>
  <si>
    <t>MT</t>
  </si>
  <si>
    <t>QR917847355BR</t>
  </si>
  <si>
    <t>10243</t>
  </si>
  <si>
    <t>EDSON GREMONI</t>
  </si>
  <si>
    <t>036.156.368-05</t>
  </si>
  <si>
    <t>14706-026</t>
  </si>
  <si>
    <t>RUA FREI CLEMENTE GRASSI, 1303</t>
  </si>
  <si>
    <t>JARDIM JÚLIA</t>
  </si>
  <si>
    <t>BEBEDOURO</t>
  </si>
  <si>
    <t>SY519198153BR</t>
  </si>
  <si>
    <t>10242</t>
  </si>
  <si>
    <t>LEANDRO TELLINI</t>
  </si>
  <si>
    <t>326.939.298-22</t>
  </si>
  <si>
    <t>13806-373</t>
  </si>
  <si>
    <t>PARQUE JARDIM MURAYAMA</t>
  </si>
  <si>
    <t>RUA FLODOALDO PAULO DOS SANTOS, 88</t>
  </si>
  <si>
    <t>SY519125757BR</t>
  </si>
  <si>
    <t>10241</t>
  </si>
  <si>
    <t>JOEL BUSS</t>
  </si>
  <si>
    <t>788.553.140-68</t>
  </si>
  <si>
    <t>96065-610</t>
  </si>
  <si>
    <t>RUA AÇORES, 1693</t>
  </si>
  <si>
    <t>TRÊS VENDAS</t>
  </si>
  <si>
    <t>PELOTAS</t>
  </si>
  <si>
    <t>QR912380858BR</t>
  </si>
  <si>
    <t>10240</t>
  </si>
  <si>
    <t>RAFAEL RESTELLO</t>
  </si>
  <si>
    <t>009.921.049-55</t>
  </si>
  <si>
    <t>FELIPE CORNETA</t>
  </si>
  <si>
    <t>MAICON HENRIQUE</t>
  </si>
  <si>
    <t>114.329.297-98</t>
  </si>
  <si>
    <t>24474-030</t>
  </si>
  <si>
    <t>RUA MANUEL QUINTANILHA, 27</t>
  </si>
  <si>
    <t>ITAÚNA</t>
  </si>
  <si>
    <t>SY500375130BR</t>
  </si>
  <si>
    <t>10238</t>
  </si>
  <si>
    <t>SAULO FONSECA</t>
  </si>
  <si>
    <t>047.202.338-13</t>
  </si>
  <si>
    <t>07084-203</t>
  </si>
  <si>
    <t>AVENIDA MARIA GEBIN DE MORAES, 210</t>
  </si>
  <si>
    <t>PARQUE CONTINENTAL II</t>
  </si>
  <si>
    <t>GUARULHOS</t>
  </si>
  <si>
    <t>SY500381016BR</t>
  </si>
  <si>
    <t>10239</t>
  </si>
  <si>
    <t>MIR TRANSPORTES E LOGISTICA LTDA</t>
  </si>
  <si>
    <t>03.565.095/0001-89</t>
  </si>
  <si>
    <t>89163-020</t>
  </si>
  <si>
    <t>RODOVIA BR-470, 8220</t>
  </si>
  <si>
    <t>CANTA GALO</t>
  </si>
  <si>
    <t>RIO DO SUL</t>
  </si>
  <si>
    <t>SC</t>
  </si>
  <si>
    <t>SY496448125BR</t>
  </si>
  <si>
    <t>NILTON APARECIDO BARBOSA</t>
  </si>
  <si>
    <t>028.290.008-03</t>
  </si>
  <si>
    <t>MARCOS MORAIS</t>
  </si>
  <si>
    <t>197.530.958-80</t>
  </si>
  <si>
    <t>48400-000</t>
  </si>
  <si>
    <t>RUA PAULO JOSÉ DE SANTANA, 238</t>
  </si>
  <si>
    <t>RIBEIRA DO POMBAL</t>
  </si>
  <si>
    <t>BA</t>
  </si>
  <si>
    <t>QR885222974BR</t>
  </si>
  <si>
    <t>10237</t>
  </si>
  <si>
    <t>ANDRE MONTENEGRO</t>
  </si>
  <si>
    <t>157.079.378-62</t>
  </si>
  <si>
    <t>03728-000</t>
  </si>
  <si>
    <t>RUA SÃO JOSÉ DO CAMPESTRE, 321</t>
  </si>
  <si>
    <t>JARDIM DANFER</t>
  </si>
  <si>
    <t>QR866128738BR</t>
  </si>
  <si>
    <t>10235</t>
  </si>
  <si>
    <t>WILLIAN PALUDO</t>
  </si>
  <si>
    <t>065.526.229-61</t>
  </si>
  <si>
    <t>85720-068</t>
  </si>
  <si>
    <t>AVENIDA 24 DE OUTUBRO, 71</t>
  </si>
  <si>
    <t>IPÊ</t>
  </si>
  <si>
    <t>MEDIANEIRA</t>
  </si>
  <si>
    <t>FELIPE FIGUEIREDO</t>
  </si>
  <si>
    <t>314.550.098-81</t>
  </si>
  <si>
    <t>22775-024</t>
  </si>
  <si>
    <t>AVENIDA ATOR JOSÉ WILKER, 400</t>
  </si>
  <si>
    <t>JACAREPAGUÁ</t>
  </si>
  <si>
    <t>QR866129543BR</t>
  </si>
  <si>
    <t>10236</t>
  </si>
  <si>
    <t>10166</t>
  </si>
  <si>
    <t>SY435402513BR</t>
  </si>
  <si>
    <t>JOÃO LANDIM</t>
  </si>
  <si>
    <t>658.033.027-91</t>
  </si>
  <si>
    <t>88053-417</t>
  </si>
  <si>
    <t>RUA DOS CARAPANÁS, 170</t>
  </si>
  <si>
    <t>JURERÊ INTERNACIONAL</t>
  </si>
  <si>
    <t>FLORIANÓPOLIS</t>
  </si>
  <si>
    <t>QR813176453BR</t>
  </si>
  <si>
    <t>CAIO TIERGARTEN</t>
  </si>
  <si>
    <t>055.500.329-96</t>
  </si>
  <si>
    <t>88502-035</t>
  </si>
  <si>
    <t>RUA HONORATO RAMOS, 307</t>
  </si>
  <si>
    <t>SY435287282BR</t>
  </si>
  <si>
    <t>10167</t>
  </si>
  <si>
    <t>CHRISTIAN HERRMANN</t>
  </si>
  <si>
    <t>004.172.789-42</t>
  </si>
  <si>
    <t>89278-000</t>
  </si>
  <si>
    <t>RUA ROBERTO SEIDEL, 1303</t>
  </si>
  <si>
    <t>CORUPÁ</t>
  </si>
  <si>
    <t>QR789629598BR</t>
  </si>
  <si>
    <t>10171</t>
  </si>
  <si>
    <t>RAUL CULAU</t>
  </si>
  <si>
    <t>210.167.980-91</t>
  </si>
  <si>
    <t>28906-170</t>
  </si>
  <si>
    <t>RUA BARÃO DO RIO BRANCO, 291</t>
  </si>
  <si>
    <t>PASSAGEM</t>
  </si>
  <si>
    <t>CABO FRIO</t>
  </si>
  <si>
    <t>QR795584989BR</t>
  </si>
  <si>
    <t>10170</t>
  </si>
  <si>
    <t>LAGES</t>
  </si>
  <si>
    <t>FÁTIMA MENDES</t>
  </si>
  <si>
    <t>SY423179895BR</t>
  </si>
  <si>
    <t>10169</t>
  </si>
  <si>
    <t>JUAN FERNANDO IENNY</t>
  </si>
  <si>
    <t>119.307.637-43</t>
  </si>
  <si>
    <t>BARROS FILHO</t>
  </si>
  <si>
    <t>21515-000</t>
  </si>
  <si>
    <t>AVENIDA BRASIL, 20491</t>
  </si>
  <si>
    <t>OV841448753BR</t>
  </si>
  <si>
    <t>GILNEI GHENO</t>
  </si>
  <si>
    <t>034.759.479-43</t>
  </si>
  <si>
    <t>89715-899</t>
  </si>
  <si>
    <t>LINHA SEDE BRUM, SN</t>
  </si>
  <si>
    <t>LINHA SEDE BRUM</t>
  </si>
  <si>
    <t>CONCÓRDIA</t>
  </si>
  <si>
    <t>QR733752245BR</t>
  </si>
  <si>
    <t>10234</t>
  </si>
  <si>
    <t>MIGUEL ARCANJO ROSSETTI</t>
  </si>
  <si>
    <t>554.437.026-53</t>
  </si>
  <si>
    <t>QN202853024BR</t>
  </si>
  <si>
    <t>ARMINDO GOMES PEREIRA</t>
  </si>
  <si>
    <t>086.309.677-81</t>
  </si>
  <si>
    <t>26041-471</t>
  </si>
  <si>
    <t>NOVA IGUAÇU</t>
  </si>
  <si>
    <t>RUA ANTÔNIO DOS SANTOS, 25</t>
  </si>
  <si>
    <t>SY373335480BR</t>
  </si>
  <si>
    <t>101727</t>
  </si>
  <si>
    <t>LEANDRO OLIVEIRA</t>
  </si>
  <si>
    <t>064.257.229-16</t>
  </si>
  <si>
    <t>88311-570</t>
  </si>
  <si>
    <t>RUA MARGARIDA DALÇOQUIO BITTENCOURT, 479</t>
  </si>
  <si>
    <t>SALSEIROS</t>
  </si>
  <si>
    <t>ITAJAÍ</t>
  </si>
  <si>
    <t>QR675619329BR</t>
  </si>
  <si>
    <t>MAURO BERGAMINI</t>
  </si>
  <si>
    <t>922.838.619-34</t>
  </si>
  <si>
    <t>80710-252</t>
  </si>
  <si>
    <t>RUA ALFERES ÂNGELO SAMPAIO, 3000</t>
  </si>
  <si>
    <t>MERCÊS</t>
  </si>
  <si>
    <t>CURITIBA</t>
  </si>
  <si>
    <t>DA355613567BR</t>
  </si>
  <si>
    <t>10126</t>
  </si>
  <si>
    <t>FRANCO FABRICIO PANATO DEMO</t>
  </si>
  <si>
    <t>020.131.719-27</t>
  </si>
  <si>
    <t>QC829399039BR</t>
  </si>
  <si>
    <t>10124</t>
  </si>
  <si>
    <t>FELIPE DE BIASE FERNANDES</t>
  </si>
  <si>
    <t>073.895.767-40</t>
  </si>
  <si>
    <t>22610-070</t>
  </si>
  <si>
    <t>AVENIDA ALMIRANTE ÁLVARO ALBERTO, 210</t>
  </si>
  <si>
    <t>SÃO CONRADO</t>
  </si>
  <si>
    <t>DQ973425059BR</t>
  </si>
  <si>
    <t>10121</t>
  </si>
  <si>
    <t>KEILA CRISTINA GRANDE</t>
  </si>
  <si>
    <t>320.535.798-11</t>
  </si>
  <si>
    <t>18523-378</t>
  </si>
  <si>
    <t>RESIDENCIAL REAL PARQUE</t>
  </si>
  <si>
    <t>CERQUILHO</t>
  </si>
  <si>
    <t>DQ979265620BR</t>
  </si>
  <si>
    <t>10122</t>
  </si>
  <si>
    <t>DQ979264876BR</t>
  </si>
  <si>
    <t>10123</t>
  </si>
  <si>
    <t>DQ973424827BR</t>
  </si>
  <si>
    <t>10120</t>
  </si>
  <si>
    <t>DELICIAS DO TRIGO</t>
  </si>
  <si>
    <t>23.951.676/0001-66</t>
  </si>
  <si>
    <t>37270-000</t>
  </si>
  <si>
    <t>ALAMEDA CALIMÉRIO ALVES COSTA, 655</t>
  </si>
  <si>
    <t>CIDADE JARDIM II</t>
  </si>
  <si>
    <t>CAMPO BELO</t>
  </si>
  <si>
    <t>DQ974529948BR</t>
  </si>
  <si>
    <t>10205</t>
  </si>
  <si>
    <t>MARILEIA SIQUEIRA</t>
  </si>
  <si>
    <t>032.409.629-18</t>
  </si>
  <si>
    <t>86220-000</t>
  </si>
  <si>
    <t>AVENIDA RIO DE JANEIRO, 815</t>
  </si>
  <si>
    <t>ASSAÍ</t>
  </si>
  <si>
    <t>QR563150901BR</t>
  </si>
  <si>
    <t>10119</t>
  </si>
  <si>
    <t>MATEUS AJALA</t>
  </si>
  <si>
    <t>033.705.451-79</t>
  </si>
  <si>
    <t>79904-700</t>
  </si>
  <si>
    <t>AVENIDA MARECHAL FLORIANO PEIXOTO, 700</t>
  </si>
  <si>
    <t>PONTA PORÃ</t>
  </si>
  <si>
    <t>QR442660800BR</t>
  </si>
  <si>
    <t>10118</t>
  </si>
  <si>
    <t>FUTURA SERVIÇOS</t>
  </si>
  <si>
    <t>019.417.580-45</t>
  </si>
  <si>
    <t>97502-496</t>
  </si>
  <si>
    <t>RUA DOUTOR MAIA, 4450</t>
  </si>
  <si>
    <t>AVENIDA PRESIDENTE WASHINGTON LUIZ, 1356</t>
  </si>
  <si>
    <t>RUA TIAGUÁ, 15</t>
  </si>
  <si>
    <t>RUA HOLDA BOTTO MALANCONI, 13 </t>
  </si>
  <si>
    <t>RUA AGOSTINHO GAGLIERA, 345</t>
  </si>
  <si>
    <t>SÃO JOÃO</t>
  </si>
  <si>
    <t>URUGUAIANA</t>
  </si>
  <si>
    <t>QR430686455BR</t>
  </si>
  <si>
    <t>JOSE CARLOS DE BARROS TITO</t>
  </si>
  <si>
    <t>687.525.124-87</t>
  </si>
  <si>
    <t>50751-655</t>
  </si>
  <si>
    <t>BONGI</t>
  </si>
  <si>
    <t>RECIFE</t>
  </si>
  <si>
    <t>PE</t>
  </si>
  <si>
    <t>AV.ENGENHEIRO ABDIAS DE CARVALHO, 1743</t>
  </si>
  <si>
    <t>DQ912912097BR</t>
  </si>
  <si>
    <t>10049</t>
  </si>
  <si>
    <t>ELIANE PAES</t>
  </si>
  <si>
    <t>727.888.870-00</t>
  </si>
  <si>
    <t>95177-000</t>
  </si>
  <si>
    <t>RUA FRANCISCO BALBINOT, 192</t>
  </si>
  <si>
    <t>FARROUPILHA</t>
  </si>
  <si>
    <t>QR397295025BR</t>
  </si>
  <si>
    <t>NIRO DOS PASSOS FERREIRA</t>
  </si>
  <si>
    <t>062.127.886-69</t>
  </si>
  <si>
    <t>38610-114</t>
  </si>
  <si>
    <t>RUA ARLINDO GOMES BRANQUINHO, 125</t>
  </si>
  <si>
    <t>CAPIM BRANCO</t>
  </si>
  <si>
    <t>UNAÍ</t>
  </si>
  <si>
    <t>QR335853775BR</t>
  </si>
  <si>
    <t>QR313999629BR</t>
  </si>
  <si>
    <t>LOUISE SANDI</t>
  </si>
  <si>
    <t>033.541.456-76</t>
  </si>
  <si>
    <t>37530-000</t>
  </si>
  <si>
    <t>RUA GONÇALVES CINTRA, 193</t>
  </si>
  <si>
    <t>BRASÓPOLIS</t>
  </si>
  <si>
    <t>QR317936275BR</t>
  </si>
  <si>
    <t>RODRIGO PALHARES</t>
  </si>
  <si>
    <t>727.628.700-97</t>
  </si>
  <si>
    <t>91310-003</t>
  </si>
  <si>
    <t>AVENIDA PROTÁSIO ALVES, 6113</t>
  </si>
  <si>
    <t>PETRÓPOLIS</t>
  </si>
  <si>
    <t>PORTO ALEGRE</t>
  </si>
  <si>
    <t>DQ889485605BR</t>
  </si>
  <si>
    <t>JOSÉ MARIA NASCIMENTO</t>
  </si>
  <si>
    <t>069.229.889-49</t>
  </si>
  <si>
    <t>85640-000</t>
  </si>
  <si>
    <t>PINHAL DE SÃO BENTO</t>
  </si>
  <si>
    <t>ANDERSON MAURO SILVA DE BARROS BARROS</t>
  </si>
  <si>
    <t>BERNARDO REIS</t>
  </si>
  <si>
    <t>138.031.877-70</t>
  </si>
  <si>
    <t>24050-100</t>
  </si>
  <si>
    <t>RUA JORNALISTA SARDO FILHO, 38</t>
  </si>
  <si>
    <t>ILHA DA CONCEIÇÃO</t>
  </si>
  <si>
    <t>DQ790746849BR</t>
  </si>
  <si>
    <t>OSMAR MILHOMEM JUNIOR</t>
  </si>
  <si>
    <t>129.630.891-04</t>
  </si>
  <si>
    <t>74815-030</t>
  </si>
  <si>
    <t>BR.153 KM.1281 ALTO DA GLORIA, 2</t>
  </si>
  <si>
    <t>VILA ALTO DA GLÓRIA</t>
  </si>
  <si>
    <t>GOIÂNIA</t>
  </si>
  <si>
    <t>GO</t>
  </si>
  <si>
    <t>QQ978759717BR</t>
  </si>
  <si>
    <t>GENIVALDO FLORI</t>
  </si>
  <si>
    <t>474.503.636-15</t>
  </si>
  <si>
    <t>41150-020</t>
  </si>
  <si>
    <t>RUA SILVEIRA MARTINS CONJUNTO COLINA DAS ÁRVORES CABULA, 70</t>
  </si>
  <si>
    <t>CABULA</t>
  </si>
  <si>
    <t>SALVADOR</t>
  </si>
  <si>
    <t>QR103279349BR</t>
  </si>
  <si>
    <t>PAULO REBOLO</t>
  </si>
  <si>
    <t>#2000011223376744</t>
  </si>
  <si>
    <t>974.235.808-72</t>
  </si>
  <si>
    <t>15804-145</t>
  </si>
  <si>
    <t>VILA BELA</t>
  </si>
  <si>
    <t>CATANDUVA </t>
  </si>
  <si>
    <t>VIVIANE CUNHA</t>
  </si>
  <si>
    <t>085.210.147-32</t>
  </si>
  <si>
    <t>29175-443</t>
  </si>
  <si>
    <t>RESIDENCIAL JACARAÍPE</t>
  </si>
  <si>
    <t>SERRA </t>
  </si>
  <si>
    <t>QR088779274BR</t>
  </si>
  <si>
    <t>RUA PADRE NÓBREGA, 18 </t>
  </si>
  <si>
    <t>BRUNO MOREIRA</t>
  </si>
  <si>
    <t>068.151.426-47</t>
  </si>
  <si>
    <t>36504-174</t>
  </si>
  <si>
    <t>RUA MAJOR TITO CESAR, 682</t>
  </si>
  <si>
    <t>BOM PASTOR</t>
  </si>
  <si>
    <t>UBÁ</t>
  </si>
  <si>
    <t>DO993697793BR</t>
  </si>
  <si>
    <t>YASMIN ELIAS ELIAS DA SILVA E SOUZA</t>
  </si>
  <si>
    <t>116.644.837-13</t>
  </si>
  <si>
    <t>29645-000</t>
  </si>
  <si>
    <t>AVENIDA FREDERICO GRULKE, 1774</t>
  </si>
  <si>
    <t>SANTA MARIA DE JETIBÁ</t>
  </si>
  <si>
    <t>DO997931205BR</t>
  </si>
  <si>
    <t>VITOR FRANÇA MONTEIRO</t>
  </si>
  <si>
    <t>110.887.527-05</t>
  </si>
  <si>
    <t>WALMIR RODERMEL</t>
  </si>
  <si>
    <t>048.408.119-54</t>
  </si>
  <si>
    <t>89520-000</t>
  </si>
  <si>
    <t>GETÚLIO VARGAS</t>
  </si>
  <si>
    <t>CURITIBANOS</t>
  </si>
  <si>
    <t>QQ978732285BR</t>
  </si>
  <si>
    <t>RAFHAEL BONAT</t>
  </si>
  <si>
    <t>922.344.709-78</t>
  </si>
  <si>
    <t>78110-066</t>
  </si>
  <si>
    <t>RUA ANA PORFIRIA DE CAMPOS, 46</t>
  </si>
  <si>
    <t>BR 470 KM 243, SN</t>
  </si>
  <si>
    <t>CENTRO-SUL</t>
  </si>
  <si>
    <t>VÁRZEA GRANDE</t>
  </si>
  <si>
    <t>QQ916470284BR</t>
  </si>
  <si>
    <t>JAINY SANTANA</t>
  </si>
  <si>
    <t>052.728.594-30</t>
  </si>
  <si>
    <t>BRENO ANDRADE</t>
  </si>
  <si>
    <t>946.034.992-72</t>
  </si>
  <si>
    <t>76870-154</t>
  </si>
  <si>
    <t>RUA CASTANHEIRA, 1794</t>
  </si>
  <si>
    <t>SETOR 01</t>
  </si>
  <si>
    <t>ARIQUEMES</t>
  </si>
  <si>
    <t>RO</t>
  </si>
  <si>
    <t>DO948959309BR</t>
  </si>
  <si>
    <t>ELIENIO SILVA</t>
  </si>
  <si>
    <t>974.070.976-15</t>
  </si>
  <si>
    <t>35338-000</t>
  </si>
  <si>
    <t>AGENOR REZENDE, 11</t>
  </si>
  <si>
    <t>JOÃO CARLOTA</t>
  </si>
  <si>
    <t>UBAPORANGA</t>
  </si>
  <si>
    <t>QQ894228900BR</t>
  </si>
  <si>
    <t>DIMAS ANTONIO GRANDIS</t>
  </si>
  <si>
    <t>966.327.718-15</t>
  </si>
  <si>
    <t>13425-084</t>
  </si>
  <si>
    <t>AVENIDA FRANCISCO LUIZ RASERA, 687</t>
  </si>
  <si>
    <t>JARDIM CALIFÓRNIA</t>
  </si>
  <si>
    <t>QQ870208066BR</t>
  </si>
  <si>
    <t>HUGO GOMES</t>
  </si>
  <si>
    <t>181.896.957-20</t>
  </si>
  <si>
    <t>28929-356</t>
  </si>
  <si>
    <t>RUA ALBACORA, 17</t>
  </si>
  <si>
    <t>VIVAMAR (TAMOIOS)</t>
  </si>
  <si>
    <t>QQ793520362BR</t>
  </si>
  <si>
    <t>EDGAR ROSSW</t>
  </si>
  <si>
    <t>121.503.377-03</t>
  </si>
  <si>
    <t>29167-028</t>
  </si>
  <si>
    <t>RUA GUANABARA, 9</t>
  </si>
  <si>
    <t>ALTEROSAS</t>
  </si>
  <si>
    <t>SERRA</t>
  </si>
  <si>
    <t>QQ810967648BR</t>
  </si>
  <si>
    <t>MARCELO HESSE</t>
  </si>
  <si>
    <t>024.850.899-73</t>
  </si>
  <si>
    <t>82210-210</t>
  </si>
  <si>
    <t>RUA RODOLFO REKSIDLER, 166</t>
  </si>
  <si>
    <t>SÃO LOURENÇO</t>
  </si>
  <si>
    <t xml:space="preserve">CURITIBA </t>
  </si>
  <si>
    <t>LUCILENE DE SOUZA</t>
  </si>
  <si>
    <t>115.439.077-25</t>
  </si>
  <si>
    <t>23555-143</t>
  </si>
  <si>
    <t>RUA JÚLIO JOSÉ DA SILVA, 32</t>
  </si>
  <si>
    <t>SANTA CRUZ</t>
  </si>
  <si>
    <t>DO822244390BR</t>
  </si>
  <si>
    <t>ISABELA NUNES</t>
  </si>
  <si>
    <t>170.224.567-55</t>
  </si>
  <si>
    <t>22790-702</t>
  </si>
  <si>
    <t>RUA MARCOS PAULO, 101</t>
  </si>
  <si>
    <t>RECREIO DOS BANDEIRANTES</t>
  </si>
  <si>
    <t>DO806567330BR</t>
  </si>
  <si>
    <t>VANDRÉ VIANNA FERNANDES</t>
  </si>
  <si>
    <t>100.518.297-38</t>
  </si>
  <si>
    <t>22790-714</t>
  </si>
  <si>
    <t>AVENIDA SALVADOR ALLENDE 6300</t>
  </si>
  <si>
    <t>DO789450890BR</t>
  </si>
  <si>
    <t>LUCAS JOSÉ DA SILVA</t>
  </si>
  <si>
    <t>061.626.125-03</t>
  </si>
  <si>
    <t>45900-000</t>
  </si>
  <si>
    <t>JUERANA RUA CANAVIEIRAS 218</t>
  </si>
  <si>
    <t>JUERANA CARAVELAS</t>
  </si>
  <si>
    <t>CARAVELAS</t>
  </si>
  <si>
    <t>DO789487886BR</t>
  </si>
  <si>
    <t>Trim2</t>
  </si>
  <si>
    <t>abr</t>
  </si>
  <si>
    <t>Devoluções:</t>
  </si>
  <si>
    <t>Receita perdida:</t>
  </si>
  <si>
    <t>Receita confirmada:</t>
  </si>
  <si>
    <t>RUA JOÃO PESSOA, 200</t>
  </si>
  <si>
    <t>Cliente cancelou pois não foi informado o valor do frete. Foi reembolsado.</t>
  </si>
  <si>
    <t>#2000007623220333</t>
  </si>
  <si>
    <r>
      <t xml:space="preserve">Par Terminal Direção L. Esq E Dir. Sprinter 416 / 516 2020
</t>
    </r>
    <r>
      <rPr>
        <i/>
        <sz val="10"/>
        <color theme="1" tint="0.34998626667073579"/>
        <rFont val="Calibri"/>
        <family val="2"/>
        <scheme val="minor"/>
      </rPr>
      <t>L. Esq.: M0012678 / L. Dir.: M0012679</t>
    </r>
  </si>
  <si>
    <t>THIAGO VASCONCELOS</t>
  </si>
  <si>
    <t>019.878.481-36</t>
  </si>
  <si>
    <t>79558-000</t>
  </si>
  <si>
    <t>DISTRITO POUSO ALTO</t>
  </si>
  <si>
    <t>AM30840597BR</t>
  </si>
  <si>
    <t>#4011697869</t>
  </si>
  <si>
    <t>M006702</t>
  </si>
  <si>
    <t>Filtro Óleo Lubrificante Mercedes O 364 Om355/5 H1164</t>
  </si>
  <si>
    <t>#4032310365</t>
  </si>
  <si>
    <t>M000758</t>
  </si>
  <si>
    <t>Frontal Farol Externo Mb 608, 708 72 A 88 Ld 3086277201</t>
  </si>
  <si>
    <t>#5352352962</t>
  </si>
  <si>
    <t>M000559</t>
  </si>
  <si>
    <t>Boia De Comb. 70l 704 Tanque Redondo 3085427017</t>
  </si>
  <si>
    <t>SEBASTIÃO MARTINS GONZAGA, SN</t>
  </si>
  <si>
    <t>Bairro/Distrito</t>
  </si>
  <si>
    <t>PARAÍSO DAS AGUAS</t>
  </si>
  <si>
    <t>#2000007634669919</t>
  </si>
  <si>
    <r>
      <t xml:space="preserve">Encanamento Do Cilindro Da Embreagem Da Sprinter 415/515
</t>
    </r>
    <r>
      <rPr>
        <i/>
        <sz val="10"/>
        <color theme="1" tint="0.34998626667073579"/>
        <rFont val="Calibri"/>
        <family val="2"/>
        <scheme val="minor"/>
      </rPr>
      <t>M0012897</t>
    </r>
  </si>
  <si>
    <t>CHIARA VIANA</t>
  </si>
  <si>
    <t>739.567.915-68</t>
  </si>
  <si>
    <t>45000-400</t>
  </si>
  <si>
    <t>VITÓRIA DA CONQUISTA</t>
  </si>
  <si>
    <t>AM315169244BR</t>
  </si>
  <si>
    <t>10907</t>
  </si>
  <si>
    <t>#2000007653044411</t>
  </si>
  <si>
    <t>LUIZ CARLOS CASAGRANDE FILHO</t>
  </si>
  <si>
    <t>033.424.699-78</t>
  </si>
  <si>
    <t>81130-220</t>
  </si>
  <si>
    <t>RUA MARECHAL OCTÁVIO SALDANHA MAZZA, 6650
BLOCO 3 AP 304</t>
  </si>
  <si>
    <t>CAPÃO RASO</t>
  </si>
  <si>
    <t>RUA GOES CALMON, 118
1 ANDAR SALA 109</t>
  </si>
  <si>
    <t>10914</t>
  </si>
  <si>
    <t>AM325441086BR</t>
  </si>
  <si>
    <t>#2000007706798515</t>
  </si>
  <si>
    <r>
      <t xml:space="preserve">Sprinter Alavanca De Freio De Mão Cdi
</t>
    </r>
    <r>
      <rPr>
        <i/>
        <sz val="10"/>
        <color theme="1" tint="0.34998626667073579"/>
        <rFont val="Calibri"/>
        <family val="2"/>
        <scheme val="minor"/>
      </rPr>
      <t>M0011146</t>
    </r>
  </si>
  <si>
    <t>002.744.300-02</t>
  </si>
  <si>
    <t>93035-540</t>
  </si>
  <si>
    <t>RUA JAIME CAETANO BRAUN, 270
CONDOMINIO PORTO SEGURO II CASA 12</t>
  </si>
  <si>
    <t>FAZENDA SÃO BORJA</t>
  </si>
  <si>
    <t>SÃO LEOPOLDO</t>
  </si>
  <si>
    <t>10931</t>
  </si>
  <si>
    <t>AM349408990BR</t>
  </si>
  <si>
    <t>#4042242005</t>
  </si>
  <si>
    <t>M003090LED</t>
  </si>
  <si>
    <t>Par Farol Redondo 12v 24v Leds 80w Ip67 6000k</t>
  </si>
  <si>
    <t>Endereço completo</t>
  </si>
  <si>
    <t>RUBENS GABRIEL P DO CARMO</t>
  </si>
  <si>
    <t>#5371975268</t>
  </si>
  <si>
    <t>Cabeçote Gm Original 94637003 Chevette 1.4 1.6 83/87 Gás</t>
  </si>
  <si>
    <t>2024</t>
  </si>
  <si>
    <t>mai</t>
  </si>
  <si>
    <t>jun</t>
  </si>
  <si>
    <t>Trim3</t>
  </si>
  <si>
    <t>jul</t>
  </si>
  <si>
    <t>ago</t>
  </si>
  <si>
    <t>set</t>
  </si>
  <si>
    <t>Trim4</t>
  </si>
  <si>
    <t>out</t>
  </si>
  <si>
    <t>nov</t>
  </si>
  <si>
    <t>dez</t>
  </si>
  <si>
    <t>R001807</t>
  </si>
  <si>
    <t>#2000011630707120</t>
  </si>
  <si>
    <r>
      <t xml:space="preserve">Frontal Farol Externo Mb 608, 708 72 A 88 Ld 3086277201
</t>
    </r>
    <r>
      <rPr>
        <i/>
        <sz val="10"/>
        <color theme="1" tint="0.34998626667073579"/>
        <rFont val="Calibri"/>
        <family val="2"/>
        <scheme val="minor"/>
      </rPr>
      <t>M000758</t>
    </r>
  </si>
  <si>
    <t>Comprador pagou R$ 80 de frete</t>
  </si>
  <si>
    <t>SIMÃO PEDRO FERREIRA RESENDE</t>
  </si>
  <si>
    <t>088.708.976-30</t>
  </si>
  <si>
    <t>38442-190</t>
  </si>
  <si>
    <t>RUA LUIZ OTÁVIO DE FARIA, 277</t>
  </si>
  <si>
    <t>GOIÁS</t>
  </si>
  <si>
    <t>ARAGUARI</t>
  </si>
  <si>
    <t>001.228.346-07</t>
  </si>
  <si>
    <t>#2000007922671053</t>
  </si>
  <si>
    <t>36955-000</t>
  </si>
  <si>
    <t>RUA OSCAR MIGUEL, 64</t>
  </si>
  <si>
    <t>OCIDENTE</t>
  </si>
  <si>
    <t>MUTUM</t>
  </si>
  <si>
    <t>11003</t>
  </si>
  <si>
    <t>#2000008027192943</t>
  </si>
  <si>
    <t>A pessoa que comprou cancelou porque não podia esperar o produto.</t>
  </si>
  <si>
    <t>RUAN PATRICK GONÇALVES SOARES GONÇALVES</t>
  </si>
  <si>
    <t>121.948.196-30</t>
  </si>
  <si>
    <t>37413-668</t>
  </si>
  <si>
    <t>RUA CINCO 213</t>
  </si>
  <si>
    <t>TRÊS CORAÇÕES</t>
  </si>
  <si>
    <t>#2000011929269162</t>
  </si>
  <si>
    <t>Tarifa de venda R$48,62.</t>
  </si>
  <si>
    <t>JOSÉ ANTÔNIO SOUZA</t>
  </si>
  <si>
    <t>705.085.777-72</t>
  </si>
  <si>
    <t>29146-784</t>
  </si>
  <si>
    <t>RUA SANTOS DUMONT, 35</t>
  </si>
  <si>
    <t>VERA CRUZ</t>
  </si>
  <si>
    <t>CARIACICA</t>
  </si>
  <si>
    <t>11026</t>
  </si>
  <si>
    <t>#2000012020985942</t>
  </si>
  <si>
    <r>
      <t xml:space="preserve">Boia De Comb. 70l 704 Tanque Redondo 3085427017
</t>
    </r>
    <r>
      <rPr>
        <i/>
        <sz val="10"/>
        <color theme="1" tint="0.34998626667073579"/>
        <rFont val="Calibri"/>
        <family val="2"/>
        <scheme val="minor"/>
      </rPr>
      <t>M000559</t>
    </r>
  </si>
  <si>
    <t>MARCOS ZUZA ALVES LARA</t>
  </si>
  <si>
    <t>480.430.648-06</t>
  </si>
  <si>
    <t>02068-030</t>
  </si>
  <si>
    <t>CARANDIRU</t>
  </si>
  <si>
    <t>NÚMERO DE VENDAS</t>
  </si>
  <si>
    <t>(vazio)</t>
  </si>
  <si>
    <t>Contagem de Status</t>
  </si>
  <si>
    <t>VENDAS POR UF</t>
  </si>
  <si>
    <t>FATURAMENTO POR MÊS</t>
  </si>
  <si>
    <t>Promoção</t>
  </si>
  <si>
    <t>Total de anúncios:</t>
  </si>
  <si>
    <t>#5295536766</t>
  </si>
  <si>
    <t>Frontal Farol Quadrado Para Caminhão Mercedes Agl 1518 1113</t>
  </si>
  <si>
    <t>M006736</t>
  </si>
  <si>
    <t>Qtd. Vendidos</t>
  </si>
  <si>
    <t>09831-115</t>
  </si>
  <si>
    <t>24110-260</t>
  </si>
  <si>
    <t>02310-000</t>
  </si>
  <si>
    <t>11925-000</t>
  </si>
  <si>
    <t>13173-425</t>
  </si>
  <si>
    <t>37890-000</t>
  </si>
  <si>
    <t>95775-000</t>
  </si>
  <si>
    <t>27931-081</t>
  </si>
  <si>
    <t>36515-000</t>
  </si>
  <si>
    <t>11693-002</t>
  </si>
  <si>
    <t>05726-130</t>
  </si>
  <si>
    <t>35057-450</t>
  </si>
  <si>
    <t>13973-500</t>
  </si>
  <si>
    <t>83413-700</t>
  </si>
  <si>
    <t>#5070948140</t>
  </si>
  <si>
    <t xml:space="preserve">   Thiago</t>
  </si>
  <si>
    <t>#2000008344539473</t>
  </si>
  <si>
    <t>AM628820656BR</t>
  </si>
  <si>
    <r>
      <t xml:space="preserve">Cabeçote Chevette 1.4 1.6 8v Válvula Gm Original
</t>
    </r>
    <r>
      <rPr>
        <i/>
        <sz val="10"/>
        <color theme="1" tint="0.34998626667073579"/>
        <rFont val="Calibri"/>
        <family val="2"/>
        <scheme val="minor"/>
      </rPr>
      <t>M005613</t>
    </r>
  </si>
  <si>
    <t>11053</t>
  </si>
  <si>
    <t>Frete R$ 49,30</t>
  </si>
  <si>
    <t xml:space="preserve">LEANDRO GONCALVES LIMA </t>
  </si>
  <si>
    <t>101.437.557-65</t>
  </si>
  <si>
    <t>29302-150</t>
  </si>
  <si>
    <t>RUA JORDÃO PASSAMAI, 21
BECO AO LADO DO ACOUGUE</t>
  </si>
  <si>
    <t>ZUMBI</t>
  </si>
  <si>
    <t>CACHOEIRO DE ITAPEMIRIM</t>
  </si>
  <si>
    <t>AM486154855BR</t>
  </si>
  <si>
    <t>#2000012147230678</t>
  </si>
  <si>
    <t>DANILO HENRIQUE JESUS TEIXEIRA</t>
  </si>
  <si>
    <t>387.306.308-51</t>
  </si>
  <si>
    <t>13148-180</t>
  </si>
  <si>
    <t>RUA ARMANDO BOTASSO</t>
  </si>
  <si>
    <t>PAULÍNIA</t>
  </si>
  <si>
    <t>CLOVIS HUBNER LEITE</t>
  </si>
  <si>
    <t>#5475689610</t>
  </si>
  <si>
    <t>NOTA FISCAL ELETRÔNICA</t>
  </si>
  <si>
    <r>
      <rPr>
        <b/>
        <sz val="11"/>
        <color theme="9" tint="-0.499984740745262"/>
        <rFont val="Calibri"/>
        <family val="2"/>
        <scheme val="minor"/>
      </rPr>
      <t>Vendas concluídas</t>
    </r>
    <r>
      <rPr>
        <b/>
        <sz val="11"/>
        <color theme="1" tint="0.14999847407452621"/>
        <rFont val="Calibri"/>
        <family val="2"/>
        <scheme val="minor"/>
      </rPr>
      <t xml:space="preserve"> </t>
    </r>
    <r>
      <rPr>
        <b/>
        <u/>
        <sz val="11"/>
        <color theme="1" tint="0.14999847407452621"/>
        <rFont val="Calibri"/>
        <family val="2"/>
        <scheme val="minor"/>
      </rPr>
      <t>sem nota fiscal</t>
    </r>
    <r>
      <rPr>
        <b/>
        <sz val="11"/>
        <color theme="1" tint="0.14999847407452621"/>
        <rFont val="Calibri"/>
        <family val="2"/>
        <scheme val="minor"/>
      </rPr>
      <t>:</t>
    </r>
  </si>
  <si>
    <r>
      <rPr>
        <b/>
        <sz val="11"/>
        <color theme="5" tint="-0.499984740745262"/>
        <rFont val="Calibri"/>
        <family val="2"/>
        <scheme val="minor"/>
      </rPr>
      <t>Vendas canceladas</t>
    </r>
    <r>
      <rPr>
        <b/>
        <sz val="11"/>
        <color theme="1" tint="0.14999847407452621"/>
        <rFont val="Calibri"/>
        <family val="2"/>
        <scheme val="minor"/>
      </rPr>
      <t xml:space="preserve"> </t>
    </r>
    <r>
      <rPr>
        <b/>
        <u/>
        <sz val="11"/>
        <color theme="1" tint="0.14999847407452621"/>
        <rFont val="Calibri"/>
        <family val="2"/>
        <scheme val="minor"/>
      </rPr>
      <t>com nota fiscal</t>
    </r>
    <r>
      <rPr>
        <b/>
        <sz val="11"/>
        <color theme="1" tint="0.14999847407452621"/>
        <rFont val="Calibri"/>
        <family val="2"/>
        <scheme val="minor"/>
      </rPr>
      <t>:</t>
    </r>
  </si>
  <si>
    <t>11068</t>
  </si>
  <si>
    <t>Garantia</t>
  </si>
  <si>
    <t>#2000012158086240</t>
  </si>
  <si>
    <t>REGIANE APARECIDA</t>
  </si>
  <si>
    <t>508.078.018-52</t>
  </si>
  <si>
    <t>12234-620</t>
  </si>
  <si>
    <t>RUA JURANDIR PEREIRA, 46</t>
  </si>
  <si>
    <t>SÃO JOSÉ DOS CAMPOS</t>
  </si>
  <si>
    <t>10805</t>
  </si>
  <si>
    <t>10972</t>
  </si>
  <si>
    <t>CONJ ELMANO FERREIRA</t>
  </si>
  <si>
    <t>SANTA TEREZINHA 2</t>
  </si>
  <si>
    <t>11072</t>
  </si>
  <si>
    <t>RUA DOS CAMARÉS, 150
BLOCO 3, AP 25</t>
  </si>
  <si>
    <t>11075</t>
  </si>
  <si>
    <t>#5489116676</t>
  </si>
  <si>
    <t>M005613</t>
  </si>
  <si>
    <t>Cabecote Motor Mercedes Benz Om355 1519 1520 3550100220</t>
  </si>
  <si>
    <t>#2000012228946746</t>
  </si>
  <si>
    <t>Tarifa de vendas R$17</t>
  </si>
  <si>
    <t>288.118.105-82</t>
  </si>
  <si>
    <t>42600-000</t>
  </si>
  <si>
    <t>RUA DAS ALGAS, 119</t>
  </si>
  <si>
    <t>MADRE DE DEUS</t>
  </si>
  <si>
    <t>AM664109276BR</t>
  </si>
  <si>
    <t>#4127311479</t>
  </si>
  <si>
    <t>M000847</t>
  </si>
  <si>
    <t>Moldura Aro Farol Lado Esquerdo 1113 2213 Cara Preta</t>
  </si>
  <si>
    <t>HELIANA DUARTE</t>
  </si>
  <si>
    <t>#2000012323641854</t>
  </si>
  <si>
    <t>Cancelou porque se arrependeu.</t>
  </si>
  <si>
    <t>EDER FREIRE DE ARAUJO</t>
  </si>
  <si>
    <t>465.964.376-04</t>
  </si>
  <si>
    <t>35125-000</t>
  </si>
  <si>
    <t>MARIA INÁCIO, 1040</t>
  </si>
  <si>
    <t xml:space="preserve">TUMIRITINGA </t>
  </si>
  <si>
    <t>#5507423434</t>
  </si>
  <si>
    <t>Moldura Aro Farol Lado Esquerdo 1113 2213 Cara Branca</t>
  </si>
  <si>
    <t>#2000012411332616</t>
  </si>
  <si>
    <t>R$ 62,08 de  Frete que o cliente pagou</t>
  </si>
  <si>
    <t>DAZIO MANOEL DA SILVA</t>
  </si>
  <si>
    <t>705.669.094-72</t>
  </si>
  <si>
    <t>48906-806</t>
  </si>
  <si>
    <t>RUA MARQUEZA, 11</t>
  </si>
  <si>
    <t>ITABERABA</t>
  </si>
  <si>
    <t>JUAZEIRO</t>
  </si>
  <si>
    <t>11108</t>
  </si>
  <si>
    <t>11111</t>
  </si>
  <si>
    <t>11112</t>
  </si>
  <si>
    <t>#2000012481550184</t>
  </si>
  <si>
    <r>
      <t xml:space="preserve">Par Farol 7 Polegadas Led Angel Eyes Mbb 1113 1313
</t>
    </r>
    <r>
      <rPr>
        <i/>
        <sz val="10"/>
        <color theme="1" tint="0.34998626667073579"/>
        <rFont val="Calibri"/>
        <family val="2"/>
        <scheme val="minor"/>
      </rPr>
      <t>Lado: Ambos lados | M003090LED</t>
    </r>
  </si>
  <si>
    <t>CLAUDIR MARIO TOMAZI</t>
  </si>
  <si>
    <t>502.408.469-15</t>
  </si>
  <si>
    <t>78565-000</t>
  </si>
  <si>
    <t>RUA LIDIA ROSA DALLAGNOL, 69</t>
  </si>
  <si>
    <t>JAPURANÃ</t>
  </si>
  <si>
    <t>NOVA BANDEIRANTES</t>
  </si>
  <si>
    <t>AM757523658BR</t>
  </si>
  <si>
    <t>10723</t>
  </si>
  <si>
    <t xml:space="preserve"> </t>
  </si>
  <si>
    <t>#4147135099</t>
  </si>
  <si>
    <t>DIR. M006934
ESQ. M000851
GRADE M000959</t>
  </si>
  <si>
    <t>Kit Moldura Lado Esq. Lado Dir. Grade Mbb 1924 A 1934</t>
  </si>
  <si>
    <t>#2000008762527829</t>
  </si>
  <si>
    <r>
      <t xml:space="preserve">Moldura Aro Farol Lado Esquerdo 1113 2213 Cara Preta
</t>
    </r>
    <r>
      <rPr>
        <i/>
        <sz val="10"/>
        <color theme="1" tint="0.34998626667073579"/>
        <rFont val="Calibri"/>
        <family val="2"/>
        <scheme val="minor"/>
      </rPr>
      <t>M000847</t>
    </r>
  </si>
  <si>
    <t>LETÍCIA CHIESA CITOLIN</t>
  </si>
  <si>
    <t>042.734.170-14</t>
  </si>
  <si>
    <t>95975-000</t>
  </si>
  <si>
    <t>LINHA SOBRA, SN</t>
  </si>
  <si>
    <t>PUTINGA</t>
  </si>
  <si>
    <t>#2000012587825150</t>
  </si>
  <si>
    <r>
      <t xml:space="preserve">Indicador De Combustível Elétrico Turotest 300088 12v 52mm
</t>
    </r>
    <r>
      <rPr>
        <i/>
        <sz val="10"/>
        <color theme="1" tint="0.34998626667073579"/>
        <rFont val="Calibri"/>
        <family val="2"/>
        <scheme val="minor"/>
      </rPr>
      <t>E006531</t>
    </r>
  </si>
  <si>
    <t>01.812.637/0001-45</t>
  </si>
  <si>
    <t>ADZ MAQUINAS</t>
  </si>
  <si>
    <t>13710-000</t>
  </si>
  <si>
    <t>ROD. PE. DONIZETTI SP332 KM 272, SN</t>
  </si>
  <si>
    <t xml:space="preserve">TAMBAÚ </t>
  </si>
  <si>
    <t>AM792505797BR</t>
  </si>
  <si>
    <t>11139</t>
  </si>
  <si>
    <t>07.702.923/0001-34</t>
  </si>
  <si>
    <t>PEÇAS LUCICAR AUTO PEÇAS</t>
  </si>
  <si>
    <t>37901-526</t>
  </si>
  <si>
    <t>RUA DOS TUPINIQUINS, 50</t>
  </si>
  <si>
    <t>NOSSA SENHORA APARECIDA</t>
  </si>
  <si>
    <t>PASSOS</t>
  </si>
  <si>
    <t>#2000012637483864</t>
  </si>
  <si>
    <t>R$ 23,59 de imposto.</t>
  </si>
  <si>
    <t>#5572470428</t>
  </si>
  <si>
    <t>M004666</t>
  </si>
  <si>
    <t>Frontal Farol Quadrado Lado Direito Mercedes Agl 1518 1113</t>
  </si>
  <si>
    <t>AC945099866BR</t>
  </si>
  <si>
    <t>11140</t>
  </si>
  <si>
    <t>#2000012694836392</t>
  </si>
  <si>
    <r>
      <t xml:space="preserve">Kit Moldura Lado Esq. Lado Dir. Grade Mbb 1924 A 1934
</t>
    </r>
    <r>
      <rPr>
        <i/>
        <sz val="10"/>
        <color theme="1" tint="0.34998626667073579"/>
        <rFont val="Calibri"/>
        <family val="2"/>
        <scheme val="minor"/>
      </rPr>
      <t>DIR. M006934 / ESQ. M000851 / GRADE M000959</t>
    </r>
  </si>
  <si>
    <t>LORRAYNE PAIVA</t>
  </si>
  <si>
    <t>055.353.771-71</t>
  </si>
  <si>
    <t>78892-350</t>
  </si>
  <si>
    <t>RUA SANTA ANASTÁCIA, 2039</t>
  </si>
  <si>
    <t>SORRISO</t>
  </si>
  <si>
    <t>#2000008886588279</t>
  </si>
  <si>
    <t>RAMON RABELO DOS PASSOS</t>
  </si>
  <si>
    <t>065.500.276-67</t>
  </si>
  <si>
    <t>35180-140</t>
  </si>
  <si>
    <t>RUA CENTO E VINTE E NOVE, 16</t>
  </si>
  <si>
    <t xml:space="preserve">TIMÓTEO </t>
  </si>
  <si>
    <t>AM826422759BR</t>
  </si>
  <si>
    <t>#4179556159</t>
  </si>
  <si>
    <t>Alternador Chevette Gm Original 94645085</t>
  </si>
  <si>
    <t>#2000008966611567</t>
  </si>
  <si>
    <t>RENATA APARECIDA PEREIRA</t>
  </si>
  <si>
    <t>086.245.536-79</t>
  </si>
  <si>
    <t>36360-000</t>
  </si>
  <si>
    <t>RUA VESPASIANO ARAÚJO, 115</t>
  </si>
  <si>
    <t>CONCEIÇÃO DA BARRA DE MINAS</t>
  </si>
  <si>
    <t>11170</t>
  </si>
  <si>
    <t>R$64,95 de frete</t>
  </si>
  <si>
    <t>#2000012846140892</t>
  </si>
  <si>
    <t>EDVALDO DOS SANTOS</t>
  </si>
  <si>
    <t>303.925.038-83</t>
  </si>
  <si>
    <t>14806-470</t>
  </si>
  <si>
    <t>RUA LAZARO MENDES FERREIRA, 151</t>
  </si>
  <si>
    <t>ARARAQUARA</t>
  </si>
  <si>
    <t>JARDIM INDAIA</t>
  </si>
  <si>
    <t>11181</t>
  </si>
  <si>
    <t>#2000009121279041</t>
  </si>
  <si>
    <r>
      <t xml:space="preserve">Alternador Chevette Gm Original 94645085
</t>
    </r>
    <r>
      <rPr>
        <i/>
        <sz val="10"/>
        <color theme="1" tint="0.34998626667073579"/>
        <rFont val="Calibri"/>
        <family val="2"/>
        <scheme val="minor"/>
      </rPr>
      <t>[SEM CÓDIGO]</t>
    </r>
  </si>
  <si>
    <t>EDVÂNIA CASTO DOS SANTOS</t>
  </si>
  <si>
    <t>022.384.935-90</t>
  </si>
  <si>
    <t>45800-000</t>
  </si>
  <si>
    <t>TRAVESSA SATURNINO COSTA 33</t>
  </si>
  <si>
    <t>BELMONTE</t>
  </si>
  <si>
    <t>AM910540132BR</t>
  </si>
  <si>
    <t>#2000012997277984</t>
  </si>
  <si>
    <t>#2000012977148246</t>
  </si>
  <si>
    <t>#5702208942</t>
  </si>
  <si>
    <t>M003742</t>
  </si>
  <si>
    <t>Suporte Patim Diant 30 Mm Mercedes L 1313 A 2213-de 70 A 86</t>
  </si>
  <si>
    <t>MARCOS JUNIOR</t>
  </si>
  <si>
    <t>104.034.376-79</t>
  </si>
  <si>
    <t>36402-272</t>
  </si>
  <si>
    <t>RUA OSVALDO LOPES BARBOSA, 90 BLOCO 3
AP401</t>
  </si>
  <si>
    <t>MOINHOS</t>
  </si>
  <si>
    <t>CONSELHEIRO LAFAIETE</t>
  </si>
  <si>
    <t>11193</t>
  </si>
  <si>
    <t>#2000013056181014</t>
  </si>
  <si>
    <t>Farol Sealed Beam 140mm 24v Pradolux Universal</t>
  </si>
  <si>
    <t>R$ 17 de tarifa</t>
  </si>
  <si>
    <t>ANDRÉ FELIPE</t>
  </si>
  <si>
    <t>147.183.197-30</t>
  </si>
  <si>
    <t>26276-320</t>
  </si>
  <si>
    <t>RUA SÃO LOURENÇO, 119</t>
  </si>
  <si>
    <t>11204</t>
  </si>
  <si>
    <t>11206</t>
  </si>
  <si>
    <t>AM785948928BR</t>
  </si>
  <si>
    <t>#2000009240799579</t>
  </si>
  <si>
    <t>Tarifa: -R$ 107,10 / Frete: -R$ 23,45</t>
  </si>
  <si>
    <t>IVANILDE LORA</t>
  </si>
  <si>
    <t>927.955.281-34</t>
  </si>
  <si>
    <t>78460-576</t>
  </si>
  <si>
    <t>RUA DOS CACTOS, 1201</t>
  </si>
  <si>
    <t>BANDEIRANTES</t>
  </si>
  <si>
    <t>LUCAS DO RIO VERDE</t>
  </si>
  <si>
    <t>AD011488465BR</t>
  </si>
  <si>
    <t>ROSA DOS VENTOS</t>
  </si>
  <si>
    <t>AD011066422BR</t>
  </si>
  <si>
    <t>ANDERSON SILVA</t>
  </si>
  <si>
    <t>057.014.565-10</t>
  </si>
  <si>
    <t>45608-110</t>
  </si>
  <si>
    <t>RUA PRESIDENTE MÉDICI, 308</t>
  </si>
  <si>
    <t>SARINHA ALCÂNTARA</t>
  </si>
  <si>
    <t>ITABUNA</t>
  </si>
  <si>
    <t>AM929652232BR</t>
  </si>
  <si>
    <t>11207</t>
  </si>
  <si>
    <t>#2000009262679635</t>
  </si>
  <si>
    <r>
      <t xml:space="preserve">Tubo Flexível De Freio Traseiro 280mm
</t>
    </r>
    <r>
      <rPr>
        <i/>
        <sz val="10"/>
        <color theme="1" tint="0.34998626667073579"/>
        <rFont val="Calibri"/>
        <family val="2"/>
        <scheme val="minor"/>
      </rPr>
      <t>E005533</t>
    </r>
  </si>
  <si>
    <t>Tarifa -R$ 22,60</t>
  </si>
  <si>
    <t>JOSÉ DUTRA</t>
  </si>
  <si>
    <t>447.436.299-34</t>
  </si>
  <si>
    <t>85408-000</t>
  </si>
  <si>
    <t>RUA EUDÓXIO BADOTTI, 165</t>
  </si>
  <si>
    <t>DIMANTE DO SUL</t>
  </si>
  <si>
    <t>AD012431158BR</t>
  </si>
  <si>
    <t>11212</t>
  </si>
  <si>
    <t>#2000013095429776</t>
  </si>
  <si>
    <t>AD013140721BR</t>
  </si>
  <si>
    <t>Descontos expirados:</t>
  </si>
  <si>
    <t>#5736327940</t>
  </si>
  <si>
    <t>M00422439</t>
  </si>
  <si>
    <t>#2000013155803276</t>
  </si>
  <si>
    <t>Tarifa: -R$ 84,80</t>
  </si>
  <si>
    <t>JULIANO DE ARAÚJO</t>
  </si>
  <si>
    <t>025.209.609-65</t>
  </si>
  <si>
    <t>87020-750</t>
  </si>
  <si>
    <t>RUA IGUAÇU</t>
  </si>
  <si>
    <t>1661</t>
  </si>
  <si>
    <t>11218</t>
  </si>
  <si>
    <t>VILA ESPERANÇA</t>
  </si>
  <si>
    <t>11224</t>
  </si>
  <si>
    <t>11226</t>
  </si>
  <si>
    <t>#2000009464991857</t>
  </si>
  <si>
    <r>
      <t xml:space="preserve">Par Anel Sincronizado 4a/5a Caixa G3-60/61 - O355 O365 O364
</t>
    </r>
    <r>
      <rPr>
        <i/>
        <sz val="10"/>
        <color theme="1" tint="0.34998626667073579"/>
        <rFont val="Calibri"/>
        <family val="2"/>
        <scheme val="minor"/>
      </rPr>
      <t>M004428</t>
    </r>
  </si>
  <si>
    <t>AN027280689BR</t>
  </si>
  <si>
    <t>#2000013213805426</t>
  </si>
  <si>
    <t>CASSIO VIDAL SCHLEDER VIEBRANTZ</t>
  </si>
  <si>
    <t>013.413.790-60</t>
  </si>
  <si>
    <t>99010-120</t>
  </si>
  <si>
    <t>AVENIDA SETE DE SETEMBRO, 100</t>
  </si>
  <si>
    <t>PASSO FUNDO</t>
  </si>
  <si>
    <t>AGUIA BRANCA</t>
  </si>
  <si>
    <t>11235</t>
  </si>
  <si>
    <t>11247</t>
  </si>
  <si>
    <t>#5775483352</t>
  </si>
  <si>
    <t>M006671</t>
  </si>
  <si>
    <t>Coroa E Pinhão 7x43 16mm 3853500939</t>
  </si>
  <si>
    <t>#4245338607</t>
  </si>
  <si>
    <t>M008575</t>
  </si>
  <si>
    <t>Maçaneta Interna Porta Lateral Sprinter 97-12 Diant. / Tras.</t>
  </si>
  <si>
    <t>#4249882811</t>
  </si>
  <si>
    <t>M005944T</t>
  </si>
  <si>
    <t>Trava Bocal Antifurto De Combustível Do Tanque Rosca Interna</t>
  </si>
  <si>
    <t>#2000013398547350</t>
  </si>
  <si>
    <t>OTAVIO CASTILHOS DA CONCEIÇÃO</t>
  </si>
  <si>
    <t>074.436.049-80</t>
  </si>
  <si>
    <t>85155-000</t>
  </si>
  <si>
    <t>RUA ROSENDO COSTA CRISTO, SN</t>
  </si>
  <si>
    <t>INÁCIO MARTINS</t>
  </si>
  <si>
    <t>#4251092201</t>
  </si>
  <si>
    <t>Mola Patim Freio Dianteiro Traseiro Mercedes 3889937110</t>
  </si>
  <si>
    <t>#4250176843</t>
  </si>
  <si>
    <t>M003688T</t>
  </si>
  <si>
    <t>Trava Antifurto Tanque Combustível Plástico Rosca Externa</t>
  </si>
  <si>
    <t>#5798446202</t>
  </si>
  <si>
    <t>Kit 10 Mola Patim Freio Dianteiro Traseiro Mercedes 38899371</t>
  </si>
  <si>
    <t>#5800799064</t>
  </si>
  <si>
    <t>M004249</t>
  </si>
  <si>
    <t>Porca Ponteira Cardan 28 X 1.5 Ferro 3224117050</t>
  </si>
  <si>
    <t>#4256435963</t>
  </si>
  <si>
    <t>M001963</t>
  </si>
  <si>
    <t>Correia Dentada 13x975 Mb 1313 1113</t>
  </si>
  <si>
    <t>#4256586999</t>
  </si>
  <si>
    <t>M002098</t>
  </si>
  <si>
    <t>Espelho De Roda Diant. Dir Esq 1313/1513 3024201116</t>
  </si>
  <si>
    <t>#5812967844</t>
  </si>
  <si>
    <t>M002104</t>
  </si>
  <si>
    <t>Espelho De Roda Traseiro Direito 3024203217 1313/1316 Vinho</t>
  </si>
  <si>
    <t>#4258092647</t>
  </si>
  <si>
    <t>M002102</t>
  </si>
  <si>
    <t>Espelho De Roda Traseiro Esquerdo 3024203017</t>
  </si>
  <si>
    <t>#5820696454</t>
  </si>
  <si>
    <t>M002103</t>
  </si>
  <si>
    <t>Espelho De Freio Hidráulico Traseiro L Direito Mb 1513 1516</t>
  </si>
  <si>
    <t>#2000013463971802</t>
  </si>
  <si>
    <t>Tarifa: -R$70,72; Frete: -R$178,95</t>
  </si>
  <si>
    <t>MAURICIO RODRIGUES FELGUEIRAS</t>
  </si>
  <si>
    <t>025.656.747-67</t>
  </si>
  <si>
    <t>22743-010</t>
  </si>
  <si>
    <t>AVENIDA GEREMÁRIO DANTAS, 904</t>
  </si>
  <si>
    <t>PECHINCHA</t>
  </si>
  <si>
    <t>MERCADO ENVIOS</t>
  </si>
  <si>
    <t>ENVIO NORMAL</t>
  </si>
  <si>
    <t>11273</t>
  </si>
  <si>
    <t>#2000013497839372</t>
  </si>
  <si>
    <t>HELENA DE OLIVEIRA EMERIM</t>
  </si>
  <si>
    <t>004.986.779-23</t>
  </si>
  <si>
    <t>88901-062</t>
  </si>
  <si>
    <t>RUA JOÃO ALVES OURIQUES, 77</t>
  </si>
  <si>
    <t>CIDADE ALTA</t>
  </si>
  <si>
    <t>ARARANGUÁ</t>
  </si>
  <si>
    <t>11275</t>
  </si>
  <si>
    <t>#2000009572621869</t>
  </si>
  <si>
    <r>
      <t xml:space="preserve">Par Farol 7 Polegadas Led Angel Eyes Mbb 1113 1313
</t>
    </r>
    <r>
      <rPr>
        <i/>
        <sz val="10"/>
        <color theme="1" tint="0.34998626667073579"/>
        <rFont val="Calibri"/>
        <family val="2"/>
        <scheme val="minor"/>
      </rPr>
      <t>Lado: Ambos lados | SKU M003090LED</t>
    </r>
  </si>
  <si>
    <t>Tarifa: R$ 102,00; Frete: R$ 24,95</t>
  </si>
  <si>
    <t>ALEXANDRE CATAO ZENAIDE</t>
  </si>
  <si>
    <t>712.105.714-04</t>
  </si>
  <si>
    <t>52030-195</t>
  </si>
  <si>
    <t>RUA DJALMA FARIAS, 365</t>
  </si>
  <si>
    <t>TORREÃO</t>
  </si>
  <si>
    <t>AN059618915BR</t>
  </si>
  <si>
    <t>#5845777508</t>
  </si>
  <si>
    <t>M005188</t>
  </si>
  <si>
    <t>Espelho De Freio Hidráulico Mb 1113 Diant. Esq. 3444207016</t>
  </si>
  <si>
    <t>#4271786349</t>
  </si>
  <si>
    <t>M003555</t>
  </si>
  <si>
    <t>Espelho Freio Hidráulico Traseiro Ld Mb 1111 1113 1116 Vinho</t>
  </si>
  <si>
    <t>#5857390602</t>
  </si>
  <si>
    <t>M003552</t>
  </si>
  <si>
    <t>Espelho Freio Hidráulico Traseiro Le Mb 1111/1113/1116</t>
  </si>
  <si>
    <t>#4276017707</t>
  </si>
  <si>
    <t>M002105</t>
  </si>
  <si>
    <t>Espelho Freio Hidráulico Traseiro Ld Mb 1113</t>
  </si>
  <si>
    <t>#2000013559809582</t>
  </si>
  <si>
    <r>
      <rPr>
        <sz val="9"/>
        <color theme="1"/>
        <rFont val="Calibri"/>
        <family val="2"/>
        <scheme val="minor"/>
      </rPr>
      <t>Disco De Tacógrafo Diário 125x24 (caixa Com 100 Unidades) Branco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0"/>
        <color theme="1" tint="0.34998626667073579"/>
        <rFont val="Calibri"/>
        <family val="2"/>
        <scheme val="minor"/>
      </rPr>
      <t>M008580</t>
    </r>
  </si>
  <si>
    <t xml:space="preserve">Tarifa: -R$8,77 </t>
  </si>
  <si>
    <t>037.050.196-94</t>
  </si>
  <si>
    <t>REGINALDO PEDROSO</t>
  </si>
  <si>
    <t>37655-000</t>
  </si>
  <si>
    <t>RUA 8 NOVA ITAPEVA 125A</t>
  </si>
  <si>
    <t>NOVA ITAPEVA</t>
  </si>
  <si>
    <t>#2000009745315697</t>
  </si>
  <si>
    <r>
      <t xml:space="preserve">Válvula De Admissão Vs1136 - Auto Técnica - 60 Graus (2 Pçs)
</t>
    </r>
    <r>
      <rPr>
        <i/>
        <sz val="10"/>
        <color theme="1" tint="0.34998626667073579"/>
        <rFont val="Calibri"/>
        <family val="2"/>
        <scheme val="minor"/>
      </rPr>
      <t>M004010</t>
    </r>
  </si>
  <si>
    <t xml:space="preserve">MARCIA DA MATTA WATZL </t>
  </si>
  <si>
    <t>984.918.577-53</t>
  </si>
  <si>
    <t>22450-130</t>
  </si>
  <si>
    <t>RUA TIMÓTEO DA COSTA 444</t>
  </si>
  <si>
    <t>LEBLON</t>
  </si>
  <si>
    <t>ITAPERA</t>
  </si>
  <si>
    <t>11289</t>
  </si>
  <si>
    <t>#2000013579974980</t>
  </si>
  <si>
    <t xml:space="preserve">Tarifa: R$11,34 </t>
  </si>
  <si>
    <t>Tarifa: -R$107,10</t>
  </si>
  <si>
    <t>ALEXANDRE RODOLFO SOARES</t>
  </si>
  <si>
    <t>339.931.638-00</t>
  </si>
  <si>
    <t>12213-215</t>
  </si>
  <si>
    <t>RUA ANNA ORTEGA TRABALLI 430</t>
  </si>
  <si>
    <t xml:space="preserve">SÃO JOSÉ DOS CAMPOS </t>
  </si>
  <si>
    <t>SÕA PAULO</t>
  </si>
  <si>
    <t>11290</t>
  </si>
  <si>
    <t>1127</t>
  </si>
  <si>
    <t>11248</t>
  </si>
  <si>
    <t>11295</t>
  </si>
  <si>
    <t>#2000009784223221</t>
  </si>
  <si>
    <t>Tarifa: -R$45,22; Frete: -R$21,45</t>
  </si>
  <si>
    <t>RICARDO SANRAY AGUIAR LOPES</t>
  </si>
  <si>
    <t>623.508.383-15</t>
  </si>
  <si>
    <t>62580-000</t>
  </si>
  <si>
    <t>AVENIDA GERALDO LOPES, 115</t>
  </si>
  <si>
    <t>MORADORA NOVA</t>
  </si>
  <si>
    <t>ACARAU</t>
  </si>
  <si>
    <t>11300</t>
  </si>
  <si>
    <t>Farol Sealed Beam P/ Lamp H4 S/ Vigia - 180mm</t>
  </si>
  <si>
    <t>Farol Scania 112/113 Comp. Aro Termoplástico Pr F-50c</t>
  </si>
  <si>
    <t>#4288523467</t>
  </si>
  <si>
    <t>Cinta Catraca Amarração Carga 1000kg Moto Bike Barco Prancha</t>
  </si>
  <si>
    <t>#4152284233</t>
  </si>
  <si>
    <t>M002529</t>
  </si>
  <si>
    <t>Rolamento Cardan Mb 55mm Borracha Cobra 524599 6.0 12v</t>
  </si>
  <si>
    <t>#5442378912</t>
  </si>
  <si>
    <t>#5387973438</t>
  </si>
  <si>
    <t>#2000009932769169</t>
  </si>
  <si>
    <r>
      <t xml:space="preserve">Tampa Do Filtro De Ar S/ Sensor Sprinter 310 A0010949506
</t>
    </r>
    <r>
      <rPr>
        <i/>
        <sz val="10"/>
        <color theme="1" tint="0.34998626667073579"/>
        <rFont val="Calibri"/>
        <family val="2"/>
        <scheme val="minor"/>
      </rPr>
      <t>M009132</t>
    </r>
  </si>
  <si>
    <t>Pino Da Manga De Eixo Diversas Medidas 26.0mm</t>
  </si>
  <si>
    <t>M009692</t>
  </si>
  <si>
    <t>#5928910534</t>
  </si>
  <si>
    <t>Pino Da Manga De Eixo Diversas Medidas 26.3mm</t>
  </si>
  <si>
    <t>#5929192706</t>
  </si>
  <si>
    <t>Pino Da Manga De Eixo Diversas Medidas 35.1mm</t>
  </si>
  <si>
    <t>#5928906704</t>
  </si>
  <si>
    <t>Pino Da Manga De Eixo Diversas Medidas 35.2mm</t>
  </si>
  <si>
    <t>Pino Da Manga De Eixo Diversas Medidas 35.3mm</t>
  </si>
  <si>
    <t>#5928675358</t>
  </si>
  <si>
    <t>Pino Da Manga De Eixo Diversas Medidas 35.4mm</t>
  </si>
  <si>
    <t>#5929321988</t>
  </si>
  <si>
    <t>Pino Da Manga De Eixo Diversas Medidas 35.5mm</t>
  </si>
  <si>
    <t>#5929192702</t>
  </si>
  <si>
    <t>Pino Da Manga De Eixo Diversas Medidas 35.6mm</t>
  </si>
  <si>
    <t>#5929424098</t>
  </si>
  <si>
    <t>Pino Da Manga De Eixo Diversas Medidas 35,7mm</t>
  </si>
  <si>
    <t>Pino Da Manga De Eixo Diversas Medidas 35,8mm</t>
  </si>
  <si>
    <t>Pino Da Manga De Eixo Diversas Medidas 35,9mm</t>
  </si>
  <si>
    <t>Pino Da Manga De Eixo Diversas Medidas 36,0mm</t>
  </si>
  <si>
    <t>Pino Da Manga De Eixo Diversas Medidas 37,15mm</t>
  </si>
  <si>
    <t>Pino Da Manga De Eixo Diversas Medidas 37,25mm</t>
  </si>
  <si>
    <t>Pino Da Manga De Eixo Diversas Medidas 37,35mm</t>
  </si>
  <si>
    <t>Pino Da Manga De Eixo Diversas Medidas 37,55mm</t>
  </si>
  <si>
    <t>Pino Da Manga De Eixo Diversas Medidas 38,0mm</t>
  </si>
  <si>
    <t>Pino Da Manga De Eixo Diversas Medidas 38,1mm</t>
  </si>
  <si>
    <t>Pino Da Manga De Eixo Diversas Medidas 38,2mm</t>
  </si>
  <si>
    <t>Pino Da Manga De Eixo Diversas Medidas 38,3mm</t>
  </si>
  <si>
    <t>Pino Da Manga De Eixo Diversas Medidas 38,4mm</t>
  </si>
  <si>
    <t>Pino Da Manga De Eixo Diversas Medidas 38,5mm</t>
  </si>
  <si>
    <t>Pino Da Manga De Eixo Diversas Medidas 38,6mm</t>
  </si>
  <si>
    <t>Pino Da Manga De Eixo Diversas Medidas 38,8mm</t>
  </si>
  <si>
    <t>Pino Da Manga De Eixo Diversas Medidas 38,9mm</t>
  </si>
  <si>
    <t>Pino Da Manga De Eixo Diversas Medidas 45,0mm</t>
  </si>
  <si>
    <t>Pino Da Manga De Eixo Diversas Medidas 45,1mm</t>
  </si>
  <si>
    <t>#4301819285</t>
  </si>
  <si>
    <t>#5928910532</t>
  </si>
  <si>
    <t>#5929347568</t>
  </si>
  <si>
    <t>#5929334772</t>
  </si>
  <si>
    <t>#5929192704</t>
  </si>
  <si>
    <t>#5929244544</t>
  </si>
  <si>
    <t>#5929347570</t>
  </si>
  <si>
    <t>#5929257340</t>
  </si>
  <si>
    <t>#5929373114</t>
  </si>
  <si>
    <t>#5929321990</t>
  </si>
  <si>
    <t>#5929270230</t>
  </si>
  <si>
    <t>M000245</t>
  </si>
  <si>
    <t>#5929373112</t>
  </si>
  <si>
    <t>#4301819283</t>
  </si>
  <si>
    <t>#5929334774</t>
  </si>
  <si>
    <t>#5929270234</t>
  </si>
  <si>
    <t>#4301819281</t>
  </si>
  <si>
    <t>#4302033261</t>
  </si>
  <si>
    <t>#5929270232</t>
  </si>
  <si>
    <t>#5929218750</t>
  </si>
  <si>
    <t>#4306315159</t>
  </si>
  <si>
    <t>M000238</t>
  </si>
  <si>
    <t>PRODUTO:</t>
  </si>
  <si>
    <t>M009694</t>
  </si>
  <si>
    <t>M000254</t>
  </si>
  <si>
    <t>M000256</t>
  </si>
  <si>
    <t>M000255</t>
  </si>
  <si>
    <t>M000259</t>
  </si>
  <si>
    <t>M000260</t>
  </si>
  <si>
    <t>M000261</t>
  </si>
  <si>
    <t>M000262</t>
  </si>
  <si>
    <t>M007772</t>
  </si>
  <si>
    <t>M000247</t>
  </si>
  <si>
    <t>M007773</t>
  </si>
  <si>
    <t>M0010095</t>
  </si>
  <si>
    <t>M000244</t>
  </si>
  <si>
    <t>M006602</t>
  </si>
  <si>
    <t>M000246</t>
  </si>
  <si>
    <t>M006603</t>
  </si>
  <si>
    <t>M006604</t>
  </si>
  <si>
    <t>M000249</t>
  </si>
  <si>
    <t>M000241</t>
  </si>
  <si>
    <t>M007771</t>
  </si>
  <si>
    <t>M006593</t>
  </si>
  <si>
    <t>ALTERAR ANÚNCIO</t>
  </si>
  <si>
    <t>Abrir Simulador</t>
  </si>
  <si>
    <t>https://www.mercadolivre.com.br/anuncios/lista?filters=CHANNEL_NO_PROXIMITY_AND_NO_MP_MERCHANTS&amp;page=1&amp;search=5929192706&amp;sort=DEFAULT</t>
  </si>
  <si>
    <t>#4301361665</t>
  </si>
  <si>
    <t>#3729436287</t>
  </si>
  <si>
    <t>#5095183610</t>
  </si>
  <si>
    <t>#3793372071</t>
  </si>
  <si>
    <t>Set cel = ws.Columns("C").Find(Wha</t>
  </si>
  <si>
    <t>SIMULADOR DE CUSTOS</t>
  </si>
  <si>
    <t>Tarifa: -76,50 Frete: -44,45</t>
  </si>
  <si>
    <t>REINALDO VIANA ALVES</t>
  </si>
  <si>
    <t>893.910.208-87</t>
  </si>
  <si>
    <t>33231-640</t>
  </si>
  <si>
    <t>RUA PEQUI, 210</t>
  </si>
  <si>
    <t>PALMITAL</t>
  </si>
  <si>
    <t>LAGOA SANTA</t>
  </si>
  <si>
    <t>11332</t>
  </si>
  <si>
    <t>#2000010017047485</t>
  </si>
  <si>
    <r>
      <t xml:space="preserve">Bolsa Lateral Porta Caminhão Mb Hpn Ln 709 710 Cinza Cinza-escuro
</t>
    </r>
    <r>
      <rPr>
        <i/>
        <sz val="10"/>
        <color theme="1" tint="0.34998626667073579"/>
        <rFont val="Calibri"/>
        <family val="2"/>
        <scheme val="minor"/>
      </rPr>
      <t>M000813</t>
    </r>
  </si>
  <si>
    <t>Tarifa: -R$ 31,56</t>
  </si>
  <si>
    <t>FERNANDA TREZUP</t>
  </si>
  <si>
    <t>058.804.039-80</t>
  </si>
  <si>
    <t>83005-450</t>
  </si>
  <si>
    <t>AVENIDA DAS TORRES, 5101</t>
  </si>
  <si>
    <t>SÃO PEDRO</t>
  </si>
  <si>
    <t>SÃO JOSÉ DOS PINHAIS</t>
  </si>
  <si>
    <t>11345</t>
  </si>
  <si>
    <t>#2000010026239095</t>
  </si>
  <si>
    <t>Tarifa: -R$ 42,84; Frete: -R$ 21,45</t>
  </si>
  <si>
    <t>LUANA ARRANZ POLIMENO</t>
  </si>
  <si>
    <t>390.279.338-47</t>
  </si>
  <si>
    <t>08775-390</t>
  </si>
  <si>
    <t>RUA PEDRO ALVARES CABRAL, 135</t>
  </si>
  <si>
    <t>JARDIM MARICA</t>
  </si>
  <si>
    <t>MOGI DAS CRUZES</t>
  </si>
  <si>
    <t>#2000010057550541</t>
  </si>
  <si>
    <t>E006531</t>
  </si>
  <si>
    <r>
      <t xml:space="preserve">Espelho Freio Hidráulico Traseiro Le Mb 1111/1113/1116 Vinho
</t>
    </r>
    <r>
      <rPr>
        <i/>
        <sz val="10"/>
        <color theme="1" tint="0.34998626667073579"/>
        <rFont val="Calibri"/>
        <family val="2"/>
        <scheme val="minor"/>
      </rPr>
      <t>M003552</t>
    </r>
  </si>
  <si>
    <t>Tarifa: -R$ 28,94; Frete: -R$ 25,60</t>
  </si>
  <si>
    <t>AIRTON HUBENER FISCHER</t>
  </si>
  <si>
    <t>890.910.789-87</t>
  </si>
  <si>
    <t>89239-400</t>
  </si>
  <si>
    <t>RODOVIA SC-418, SN</t>
  </si>
  <si>
    <t>DONA FRANCISCA (PIRABEIRABA)</t>
  </si>
  <si>
    <t xml:space="preserve">JOINVILLE </t>
  </si>
  <si>
    <t>11347</t>
  </si>
  <si>
    <t>11346</t>
  </si>
  <si>
    <t>#2000010060705113</t>
  </si>
  <si>
    <r>
      <t xml:space="preserve">Correia Dentada Motores 152 Dentes 2.8 8v Eletrônico
</t>
    </r>
    <r>
      <rPr>
        <i/>
        <sz val="10"/>
        <color theme="1" tint="0.34998626667073579"/>
        <rFont val="Calibri"/>
        <family val="2"/>
        <scheme val="minor"/>
      </rPr>
      <t>M004882</t>
    </r>
  </si>
  <si>
    <t>Tarifa: -R$ 31,42; Frete: -R$ 19,30</t>
  </si>
  <si>
    <t>BRASILINO RIBEIRO COSTA</t>
  </si>
  <si>
    <t>395.855.819-49</t>
  </si>
  <si>
    <t>13347-020</t>
  </si>
  <si>
    <t>RUA JOSÉ CARLOS GEISS, 44</t>
  </si>
  <si>
    <t>RECREIO CAMPESTRE JÓIA</t>
  </si>
  <si>
    <t>INDAIATUBA</t>
  </si>
  <si>
    <t>11351</t>
  </si>
  <si>
    <t>#2000010070741173</t>
  </si>
  <si>
    <t>Tarifa: -R$ 387,60; Frete: -R$ 26,95</t>
  </si>
  <si>
    <t>485.005.690-34</t>
  </si>
  <si>
    <t>95925-000</t>
  </si>
  <si>
    <t>RUA ANTÔNIO IORRA, 765</t>
  </si>
  <si>
    <t>PROGRESSO</t>
  </si>
  <si>
    <t>MAURO PEDRO DA SILVA</t>
  </si>
  <si>
    <t>11352</t>
  </si>
  <si>
    <t>#2000010082239281</t>
  </si>
  <si>
    <r>
      <t xml:space="preserve">Espelho Freio Hidráulico Traseiro Ld Mb 1111 1113 1116 Vinho Vinho
</t>
    </r>
    <r>
      <rPr>
        <i/>
        <sz val="10"/>
        <color theme="1" tint="0.34998626667073579"/>
        <rFont val="Calibri"/>
        <family val="2"/>
        <scheme val="minor"/>
      </rPr>
      <t>M003555</t>
    </r>
  </si>
  <si>
    <t>Tarifa: -R$ 45,22; Frete: -R$ 28,45</t>
  </si>
  <si>
    <t>HELMO SOBRAL</t>
  </si>
  <si>
    <t>940.767.405-30</t>
  </si>
  <si>
    <t>47850-001</t>
  </si>
  <si>
    <t>AVENIDA BARREIRAS, 115</t>
  </si>
  <si>
    <t>LUÍS EDUARDO MAGALHÃES</t>
  </si>
  <si>
    <t>11357</t>
  </si>
  <si>
    <t>#2000010083181401</t>
  </si>
  <si>
    <r>
      <t xml:space="preserve">Tubo Flexível Freio Dianteiro Ducato 300/4628
</t>
    </r>
    <r>
      <rPr>
        <i/>
        <sz val="10"/>
        <color theme="1" tint="0.34998626667073579"/>
        <rFont val="Calibri"/>
        <family val="2"/>
        <scheme val="minor"/>
      </rPr>
      <t>E005701</t>
    </r>
  </si>
  <si>
    <t>Tarifa: -R$ 10,99;</t>
  </si>
  <si>
    <t>PATRICIA CRISTINA PORTO</t>
  </si>
  <si>
    <t>345.890.918-44</t>
  </si>
  <si>
    <t>15895-144</t>
  </si>
  <si>
    <t>RUA LUIZ VICENTE FERREIRA, 720</t>
  </si>
  <si>
    <t>AVENIDA PARQUE</t>
  </si>
  <si>
    <t>CEDRAL</t>
  </si>
  <si>
    <t>11364</t>
  </si>
  <si>
    <t>#2000010086163681</t>
  </si>
  <si>
    <t>Tarifa: -R$ 107,10; Frete: -R$ 23,45</t>
  </si>
  <si>
    <t>GABRIEL FERREIRA RIBEIRO</t>
  </si>
  <si>
    <t>047.683.141-55</t>
  </si>
  <si>
    <t>72878-018</t>
  </si>
  <si>
    <t>AVENIDA MARGINAL, 2</t>
  </si>
  <si>
    <t>PARQUE ESPLANADA II</t>
  </si>
  <si>
    <t>VALPARAÍSO DE GOIÁS</t>
  </si>
  <si>
    <t>11360</t>
  </si>
  <si>
    <t>#2000010096885285</t>
  </si>
  <si>
    <t>Tarifa: -R$ 42,84; Frete: -R$21,45</t>
  </si>
  <si>
    <t>PEDRO HENRIQUE DE OLIVEIRA LIM LIMA</t>
  </si>
  <si>
    <t>090.089.166-14</t>
  </si>
  <si>
    <t>14801-417</t>
  </si>
  <si>
    <t>RUA PROFESSORA ADÉLIA IZIQUE, 1101</t>
  </si>
  <si>
    <t>VILA SANTANA</t>
  </si>
  <si>
    <t>11365</t>
  </si>
  <si>
    <t>#2000010134498169</t>
  </si>
  <si>
    <t>#2000010209623885</t>
  </si>
  <si>
    <r>
      <t xml:space="preserve">Frontal Farol Quadrado Para Caminhão Mercedes Agl 1518 1113
</t>
    </r>
    <r>
      <rPr>
        <i/>
        <sz val="10"/>
        <color theme="1" tint="0.34998626667073579"/>
        <rFont val="Calibri"/>
        <family val="2"/>
        <scheme val="minor"/>
      </rPr>
      <t>M006736</t>
    </r>
  </si>
  <si>
    <t>JOSE DE FATIMA GONCALVES DA SILVA</t>
  </si>
  <si>
    <t>047.031.423-09</t>
  </si>
  <si>
    <t>65505-000</t>
  </si>
  <si>
    <t>RUA VALMIR COSTA, SN</t>
  </si>
  <si>
    <t>CAMPO VELHO</t>
  </si>
  <si>
    <t>AFONSO CUNHA</t>
  </si>
  <si>
    <t>#4352836981</t>
  </si>
  <si>
    <t>M002819</t>
  </si>
  <si>
    <t>Lanterna Traseira Sprinter 313 Mercedes A0008260756</t>
  </si>
  <si>
    <t>#4353005817</t>
  </si>
  <si>
    <t>M007814</t>
  </si>
  <si>
    <t>Radiador Oleo Sprinter 310/312 Mwm 75053e 0001802565</t>
  </si>
  <si>
    <t>#2000010359672033</t>
  </si>
  <si>
    <t>Tarifa: -R$10,58</t>
  </si>
  <si>
    <t>LUCAS MIGUEL DOS ANJOS</t>
  </si>
  <si>
    <t>089.026.959-99</t>
  </si>
  <si>
    <t>84640-000</t>
  </si>
  <si>
    <t>DR.OSCAR GEYER, 769</t>
  </si>
  <si>
    <t>BITURUNA</t>
  </si>
  <si>
    <t>11404</t>
  </si>
  <si>
    <t>11379</t>
  </si>
  <si>
    <t>11376</t>
  </si>
  <si>
    <t>#2000010457296461</t>
  </si>
  <si>
    <r>
      <t xml:space="preserve">Espelho Freio Hidráulico Traseiro Le Mb 1111/1113/1116 Vinho
</t>
    </r>
    <r>
      <rPr>
        <i/>
        <sz val="10"/>
        <color theme="1" tint="0.34998626667073579"/>
        <rFont val="Calibri"/>
        <family val="2"/>
        <scheme val="minor"/>
      </rPr>
      <t>M000000</t>
    </r>
  </si>
  <si>
    <r>
      <t xml:space="preserve">Capa Câmbio De Marcha Moletom Com Capuz Preto E Vermelho
</t>
    </r>
    <r>
      <rPr>
        <i/>
        <sz val="10"/>
        <color theme="1" tint="0.34998626667073579"/>
        <rFont val="Calibri"/>
        <family val="2"/>
        <scheme val="minor"/>
      </rPr>
      <t>M004080</t>
    </r>
  </si>
  <si>
    <t>CLEITON EUSTAQUIO SILVA</t>
  </si>
  <si>
    <t>042.503.596-46</t>
  </si>
  <si>
    <t>38082-147</t>
  </si>
  <si>
    <t>AVENIDA NOSSA SENHORA DO DESTERRO, 1388</t>
  </si>
  <si>
    <t>PARAÍSO</t>
  </si>
  <si>
    <t>UBERABA</t>
  </si>
  <si>
    <t>11400</t>
  </si>
  <si>
    <t>#2000010692886793</t>
  </si>
  <si>
    <r>
      <t xml:space="preserve">Trava Antifurto Tanque Combustível Plástico Rosca Externa Verde
</t>
    </r>
    <r>
      <rPr>
        <i/>
        <sz val="10"/>
        <color theme="1" tint="0.34998626667073579"/>
        <rFont val="Calibri"/>
        <family val="2"/>
        <scheme val="minor"/>
      </rPr>
      <t>M005944T</t>
    </r>
  </si>
  <si>
    <t>Tarifa: -R$ 93,50; Frete: -R$ 44,45</t>
  </si>
  <si>
    <t>Tarifa: -R$ 15,69; Frete: -R$ 17,96</t>
  </si>
  <si>
    <t>DANIELA ALMEIDA</t>
  </si>
  <si>
    <t>758.078.901-91</t>
  </si>
  <si>
    <t>75106-375</t>
  </si>
  <si>
    <t>RUA MARIA DE MELLO, SN</t>
  </si>
  <si>
    <t>RESIDENCIAL ARCO-ÍRIS</t>
  </si>
  <si>
    <t>ANÁPOLIS</t>
  </si>
  <si>
    <t>11426</t>
  </si>
  <si>
    <t>#2000010758091933</t>
  </si>
  <si>
    <t>Tarifa: -R$ 18,44;</t>
  </si>
  <si>
    <t>LIDIANE KRIEGER DOS SANTOS</t>
  </si>
  <si>
    <t>314.309.688-85</t>
  </si>
  <si>
    <t>11675-160</t>
  </si>
  <si>
    <t>RUA JOÃO SOUZA, 77</t>
  </si>
  <si>
    <t>VILA NOSSA SRA. APARECIDA</t>
  </si>
  <si>
    <t>CARAGUATATUBA</t>
  </si>
  <si>
    <t>11433</t>
  </si>
  <si>
    <t>#2000014561103252</t>
  </si>
  <si>
    <r>
      <t xml:space="preserve">Coroa E Pinhão 7x43 16mm 3853500939
</t>
    </r>
    <r>
      <rPr>
        <i/>
        <sz val="10"/>
        <color theme="1" tint="0.34998626667073579"/>
        <rFont val="Calibri"/>
        <family val="2"/>
        <scheme val="minor"/>
      </rPr>
      <t>M006671</t>
    </r>
  </si>
  <si>
    <t>Premium</t>
  </si>
  <si>
    <t>Tarifa: -R$ 419,83; -R$ 98,95</t>
  </si>
  <si>
    <t>PAULO ROBERTO BARBOSA DA SILVA</t>
  </si>
  <si>
    <t>926.034.163-91</t>
  </si>
  <si>
    <t>63090-534</t>
  </si>
  <si>
    <t>RUA T22, 122</t>
  </si>
  <si>
    <t>BELA VISTA</t>
  </si>
  <si>
    <t>BARBALHA</t>
  </si>
  <si>
    <t>11444</t>
  </si>
  <si>
    <t>2026</t>
  </si>
  <si>
    <t>#2000011043166257</t>
  </si>
  <si>
    <t>Tarifa: -R$22,60</t>
  </si>
  <si>
    <t>BRUNO RODRIGUES PORTES</t>
  </si>
  <si>
    <t>085.762.746-55</t>
  </si>
  <si>
    <t>30550-630</t>
  </si>
  <si>
    <t>RUA JOEL DE MATOS SAID, 310</t>
  </si>
  <si>
    <t>SALGADO FILHO</t>
  </si>
  <si>
    <t>BELO HORIZONTE</t>
  </si>
  <si>
    <t>11458</t>
  </si>
  <si>
    <t>#2000011121331647</t>
  </si>
  <si>
    <t>Tarifa: -R$ 76,50; Frete: -R$ 26,95</t>
  </si>
  <si>
    <t>KELIO ANTONIO DOS REIS</t>
  </si>
  <si>
    <t>068.026.386-14</t>
  </si>
  <si>
    <t>37901-300</t>
  </si>
  <si>
    <t>RODOVIA MG-050, 910</t>
  </si>
  <si>
    <t>JARDIM VILA RICA</t>
  </si>
  <si>
    <t xml:space="preserve">PASSOS </t>
  </si>
  <si>
    <t>11466</t>
  </si>
  <si>
    <t>#2000011272545311</t>
  </si>
  <si>
    <r>
      <t xml:space="preserve">Frontal Farol Quadrado Lado Direito Mercedes Agl 1518 1113
</t>
    </r>
    <r>
      <rPr>
        <i/>
        <sz val="10"/>
        <color theme="1" tint="0.34998626667073579"/>
        <rFont val="Calibri"/>
        <family val="2"/>
        <scheme val="minor"/>
      </rPr>
      <t>M004666</t>
    </r>
  </si>
  <si>
    <t>Tarifa: -R$ 123,42; Frete: -R$105,45</t>
  </si>
  <si>
    <t>LUIZ REGIS FERREIRA</t>
  </si>
  <si>
    <t>048.860.399-44</t>
  </si>
  <si>
    <t>84950-000</t>
  </si>
  <si>
    <t>RUA BENJAMIN CONSTANT, 119</t>
  </si>
  <si>
    <t>WENCESLAU BRAZ</t>
  </si>
  <si>
    <t>11478</t>
  </si>
  <si>
    <t>#2000011298566801</t>
  </si>
  <si>
    <t>Tarifa: -R$ 23,42; Frete: -R$20,20</t>
  </si>
  <si>
    <t>CELSO GOLTSMAN LERNER</t>
  </si>
  <si>
    <t>468.253.637-00</t>
  </si>
  <si>
    <t>20010-020</t>
  </si>
  <si>
    <t>RUA SÃO JOSÉ 35</t>
  </si>
  <si>
    <t>11481</t>
  </si>
  <si>
    <t>#2000011328804953</t>
  </si>
  <si>
    <r>
      <t xml:space="preserve">Farol Sealed Beam P/ Lamp H4 S/ Vigia - 180mm Ambos Lados
</t>
    </r>
    <r>
      <rPr>
        <i/>
        <sz val="10"/>
        <color theme="1" tint="0.34998626667073579"/>
        <rFont val="Calibri"/>
        <family val="2"/>
        <scheme val="minor"/>
      </rPr>
      <t>M00422439</t>
    </r>
  </si>
  <si>
    <t>Tarifa: -R$36,00; Frete: -R$42,21</t>
  </si>
  <si>
    <t>MARIO SERGIO MARANHAO MARQUES</t>
  </si>
  <si>
    <t>109.795.495-15</t>
  </si>
  <si>
    <t>40295-050</t>
  </si>
  <si>
    <t>AVENIDA SANTA LUZIA 610</t>
  </si>
  <si>
    <t>HORTO FLORESTAL</t>
  </si>
  <si>
    <t xml:space="preserve">SALVADOR </t>
  </si>
  <si>
    <t>11483</t>
  </si>
  <si>
    <t>#2000011389271763</t>
  </si>
  <si>
    <r>
      <rPr>
        <sz val="10"/>
        <color theme="1"/>
        <rFont val="Calibri"/>
        <family val="2"/>
        <scheme val="minor"/>
      </rPr>
      <t>Trava Antifurto Tanque Combustível Plástico Rosca Externa Verde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0"/>
        <color theme="1" tint="0.34998626667073579"/>
        <rFont val="Calibri"/>
        <family val="2"/>
        <scheme val="minor"/>
      </rPr>
      <t>M005944T</t>
    </r>
  </si>
  <si>
    <t>Tarifa: -R$23,42; Frete: -R$20,20</t>
  </si>
  <si>
    <t>ANDERSON GONCALVES DE CERQUEIRA</t>
  </si>
  <si>
    <t>118.872.877-60</t>
  </si>
  <si>
    <t>20561-005</t>
  </si>
  <si>
    <t>GRAJAÚ</t>
  </si>
  <si>
    <t>RUA CANAVIEIRAS, 700</t>
  </si>
  <si>
    <t>11488</t>
  </si>
  <si>
    <t>#2000011435414249</t>
  </si>
  <si>
    <r>
      <t xml:space="preserve">Trava Antifurto Tanque Combustível Plástico Rosca Interna Verde
</t>
    </r>
    <r>
      <rPr>
        <i/>
        <sz val="10"/>
        <color theme="1" tint="0.34998626667073579"/>
        <rFont val="Calibri"/>
        <family val="2"/>
        <scheme val="minor"/>
      </rPr>
      <t>Cor: Verde | SKU M005944T</t>
    </r>
  </si>
  <si>
    <t>Tarifa: -R$15,47; Tarifa: -R$17,96</t>
  </si>
  <si>
    <t>JOCEMAR MORAES DE OLIVEIRA</t>
  </si>
  <si>
    <t>966.990.940-68</t>
  </si>
  <si>
    <t>97310-621</t>
  </si>
  <si>
    <t>RUA SANTA MARGARIDA, 1067</t>
  </si>
  <si>
    <t>VILA TRINDADE</t>
  </si>
  <si>
    <t>SÃO GABRIEL</t>
  </si>
  <si>
    <t>11498</t>
  </si>
  <si>
    <t>#2000011515564829</t>
  </si>
  <si>
    <r>
      <t xml:space="preserve">Sapatas De Freio Mazzicar Ducato 2000-2005
</t>
    </r>
    <r>
      <rPr>
        <i/>
        <sz val="10"/>
        <color theme="1" tint="0.34998626667073579"/>
        <rFont val="Calibri"/>
        <family val="2"/>
        <scheme val="minor"/>
      </rPr>
      <t>E002275</t>
    </r>
  </si>
  <si>
    <t>Tarifa: -R$ 13,48; Frete: -R$ 16,41</t>
  </si>
  <si>
    <t>ADAO DONIZETE MADEIRA</t>
  </si>
  <si>
    <t>627.169.806-91</t>
  </si>
  <si>
    <t>37810-000</t>
  </si>
  <si>
    <t>RUA MARECHAL FLORIANO PEIXOTO, 1511</t>
  </si>
  <si>
    <t>GUARANÉSIA</t>
  </si>
  <si>
    <t>11508</t>
  </si>
  <si>
    <t>#4411104817</t>
  </si>
  <si>
    <t>M005411</t>
  </si>
  <si>
    <t>Relé Pisca Eletrônico 10 Pinos - 3505447132 24v</t>
  </si>
  <si>
    <t>#6163558918</t>
  </si>
  <si>
    <t>M0013967</t>
  </si>
  <si>
    <t>Haste Medidor Nível De Óleo - 70320078e</t>
  </si>
  <si>
    <t>#4445346663</t>
  </si>
  <si>
    <t>M004760</t>
  </si>
  <si>
    <t>Reparo Cilindro De Roda Parcial 1.27/32 (rrcr 5655.6)</t>
  </si>
  <si>
    <t>https://www.mercadolivre.com.br/simulador-de-custos?itemId=MLB4445346663</t>
  </si>
  <si>
    <t>#2000011817606743</t>
  </si>
  <si>
    <t>EDSON RODRIGUES</t>
  </si>
  <si>
    <t>336.235.541-20</t>
  </si>
  <si>
    <t>75890-000</t>
  </si>
  <si>
    <t>RUA 14 ESQUINA RUA 11 SN</t>
  </si>
  <si>
    <t>OUTRO</t>
  </si>
  <si>
    <t>SÃO SIMÃO</t>
  </si>
  <si>
    <t>11531</t>
  </si>
  <si>
    <t>#2000011838498495</t>
  </si>
  <si>
    <r>
      <t xml:space="preserve">Tirante/freio/mao Menor 64 Cm. Mb O362/o364/oh1313
</t>
    </r>
    <r>
      <rPr>
        <i/>
        <sz val="10"/>
        <color theme="1" tint="0.34998626667073579"/>
        <rFont val="Calibri"/>
        <family val="2"/>
        <scheme val="minor"/>
      </rPr>
      <t>M003714</t>
    </r>
  </si>
  <si>
    <t>Cancelado porque não há estoque disponível.</t>
  </si>
  <si>
    <t>DOUGLAS DUARTE</t>
  </si>
  <si>
    <t>086.106.508-55</t>
  </si>
  <si>
    <t>8610650-855</t>
  </si>
  <si>
    <t>RUA ELIAS FELÍCIO, 137</t>
  </si>
  <si>
    <t>NÚCLEO H. MARY DOTA</t>
  </si>
  <si>
    <t xml:space="preserve">BAURU </t>
  </si>
  <si>
    <t>#2000011923504169</t>
  </si>
  <si>
    <t>Tarifa: -R$ 107,10; Frete: -R$ 24,65</t>
  </si>
  <si>
    <t>CARLOS ALEXANDRE SAITO</t>
  </si>
  <si>
    <t>329.634.228-14</t>
  </si>
  <si>
    <t>12237-070</t>
  </si>
  <si>
    <t>RUA PENEDO, 300</t>
  </si>
  <si>
    <t>JARDIM VENEZA</t>
  </si>
  <si>
    <t>11541</t>
  </si>
  <si>
    <t>#2000011981958333</t>
  </si>
  <si>
    <r>
      <t xml:space="preserve">Lanterna Traseira Sprinter 313 Mercedes A0008260756
</t>
    </r>
    <r>
      <rPr>
        <i/>
        <sz val="10"/>
        <color theme="1" tint="0.34998626667073579"/>
        <rFont val="Calibri"/>
        <family val="2"/>
        <scheme val="minor"/>
      </rPr>
      <t>M002819</t>
    </r>
  </si>
  <si>
    <t>Tarifa: -R$ 14,73; Frete: -R$ 21,05</t>
  </si>
  <si>
    <t>CLEBER SOUZA</t>
  </si>
  <si>
    <t>788.962.401-82</t>
  </si>
  <si>
    <t>72007-750</t>
  </si>
  <si>
    <t>RUA 12 CHÁCARA, 129A CONJUNTO A 16</t>
  </si>
  <si>
    <t>BRASÍLIA</t>
  </si>
  <si>
    <t>DF</t>
  </si>
  <si>
    <t>#2000012040463909</t>
  </si>
  <si>
    <t>TIAGO ALVES DOS SANTOS</t>
  </si>
  <si>
    <t>298.442.918-44</t>
  </si>
  <si>
    <t>02360-250</t>
  </si>
  <si>
    <t>TRAVESSA JOSÉ VIRGÍLIO RAMOS 38</t>
  </si>
  <si>
    <t>JARDIM FONTALIS</t>
  </si>
  <si>
    <t>11556</t>
  </si>
  <si>
    <t>#4595756493</t>
  </si>
  <si>
    <t>M007243</t>
  </si>
  <si>
    <t>Eixo Virabrequim Fixo Std Biela 0,10mm Om364 364.030.0602</t>
  </si>
  <si>
    <t>#6818088748</t>
  </si>
  <si>
    <t>Cárter De Óleo Mwm 70830093</t>
  </si>
  <si>
    <t>M007716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</si>
</sst>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7" formatCode="&quot;R$&quot;\ #,##0.00;\-&quot;R$&quot;\ #,##0.00"/>
    <numFmt numFmtId="164" formatCode="&quot;R$&quot;\ #,##0.00"/>
    <numFmt numFmtId="165" formatCode="[$-416]d\-mmm\-yy;@"/>
    <numFmt numFmtId="166" formatCode="#0"/>
    <numFmt numFmtId="167" formatCode="00\ &quot;Anúncio(s)&quot;"/>
    <numFmt numFmtId="168" formatCode="00\ &quot;Venda(s)&quot;"/>
    <numFmt numFmtId="169" formatCode="0\ &quot;Venda(s)&quot;"/>
    <numFmt numFmtId="170" formatCode="00000\-000"/>
    <numFmt numFmtId="171" formatCode="&quot;10&quot;000"/>
    <numFmt numFmtId="172" formatCode="&quot;#&quot;#"/>
    <numFmt numFmtId="173" formatCode="&quot;M00&quot;0000"/>
  </numFmts>
  <fonts count="8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8"/>
      <color theme="2" tint="-0.74999237037263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2" tint="-0.74999237037263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1"/>
      <name val="Segoe UI"/>
      <family val="2"/>
    </font>
    <font>
      <b/>
      <sz val="10"/>
      <color indexed="81"/>
      <name val="Segoe UI"/>
      <family val="2"/>
    </font>
    <font>
      <sz val="8"/>
      <color theme="1"/>
      <name val="Calibri"/>
      <family val="2"/>
    </font>
    <font>
      <b/>
      <sz val="8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</font>
    <font>
      <i/>
      <sz val="10"/>
      <color theme="1" tint="0.34998626667073579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1"/>
      <color rgb="FF000000"/>
      <name val="Calibri"/>
      <family val="2"/>
      <scheme val="minor"/>
    </font>
    <font>
      <sz val="10"/>
      <name val="Calibri"/>
      <family val="2"/>
    </font>
    <font>
      <b/>
      <u/>
      <sz val="11"/>
      <name val="Calibri"/>
      <family val="2"/>
      <scheme val="minor"/>
    </font>
    <font>
      <sz val="1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rgb="FF1F1F1F"/>
      <name val="Calibri"/>
      <family val="2"/>
    </font>
    <font>
      <b/>
      <sz val="10"/>
      <color theme="1" tint="0.49998474074526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theme="9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7"/>
      <color theme="1"/>
      <name val="Calibri"/>
      <family val="2"/>
    </font>
    <font>
      <sz val="9"/>
      <color theme="1"/>
      <name val="Arial"/>
      <family val="2"/>
    </font>
    <font>
      <b/>
      <sz val="11"/>
      <color theme="1" tint="0.34998626667073579"/>
      <name val="Calibri"/>
      <family val="2"/>
      <scheme val="minor"/>
    </font>
    <font>
      <u/>
      <sz val="11"/>
      <color theme="4" tint="-0.249977111117893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b/>
      <sz val="10"/>
      <color theme="1" tint="0.14999847407452621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u/>
      <sz val="11"/>
      <color theme="1" tint="0.1499984740745262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u/>
      <sz val="10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theme="7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9"/>
      <color rgb="FF000000"/>
      <name val="Calibri"/>
      <family val="2"/>
      <scheme val="minor"/>
    </font>
    <font>
      <b/>
      <sz val="9"/>
      <color theme="1" tint="4.9989318521683403E-2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8"/>
      <color theme="7" tint="-0.499984740745262"/>
      <name val="Calibri"/>
      <family val="2"/>
      <scheme val="minor"/>
    </font>
    <font>
      <sz val="7"/>
      <color rgb="FFFFFFFF"/>
      <name val="Consolas"/>
      <family val="3"/>
    </font>
    <font>
      <sz val="11"/>
      <color theme="7" tint="0.39997558519241921"/>
      <name val="Calibri"/>
      <family val="2"/>
      <scheme val="minor"/>
    </font>
    <font>
      <b/>
      <sz val="12"/>
      <color theme="7" tint="-0.249977111117893"/>
      <name val="Calibri"/>
      <family val="2"/>
      <scheme val="minor"/>
    </font>
    <font>
      <sz val="8"/>
      <color theme="7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8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E803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/>
        <bgColor indexed="64"/>
      </patternFill>
    </fill>
  </fills>
  <borders count="7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 tint="0.39997558519241921"/>
      </left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 style="thin">
        <color theme="7" tint="0.39997558519241921"/>
      </right>
      <top style="thin">
        <color theme="7" tint="0.39997558519241921"/>
      </top>
      <bottom/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n">
        <color theme="7" tint="0.39997558519241921"/>
      </left>
      <right style="thin">
        <color theme="7" tint="0.39997558519241921"/>
      </right>
      <top/>
      <bottom style="medium">
        <color rgb="FF806000"/>
      </bottom>
      <diagonal/>
    </border>
    <border>
      <left style="thin">
        <color theme="7" tint="0.39997558519241921"/>
      </left>
      <right style="thin">
        <color theme="7" tint="0.39997558519241921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thin">
        <color theme="0"/>
      </right>
      <top/>
      <bottom/>
      <diagonal/>
    </border>
    <border>
      <left style="medium">
        <color theme="7" tint="0.39997558519241921"/>
      </left>
      <right/>
      <top/>
      <bottom/>
      <diagonal/>
    </border>
    <border>
      <left style="thin">
        <color theme="0"/>
      </left>
      <right style="medium">
        <color theme="7" tint="0.39997558519241921"/>
      </right>
      <top style="thin">
        <color theme="0"/>
      </top>
      <bottom style="thin">
        <color theme="0"/>
      </bottom>
      <diagonal/>
    </border>
    <border>
      <left style="medium">
        <color theme="7" tint="0.39997558519241921"/>
      </left>
      <right/>
      <top/>
      <bottom style="medium">
        <color theme="7" tint="0.39997558519241921"/>
      </bottom>
      <diagonal/>
    </border>
    <border>
      <left/>
      <right/>
      <top/>
      <bottom style="medium">
        <color theme="7" tint="0.39997558519241921"/>
      </bottom>
      <diagonal/>
    </border>
    <border>
      <left/>
      <right style="thin">
        <color theme="0"/>
      </right>
      <top/>
      <bottom style="medium">
        <color theme="7" tint="0.39997558519241921"/>
      </bottom>
      <diagonal/>
    </border>
    <border>
      <left/>
      <right/>
      <top style="thin">
        <color theme="0"/>
      </top>
      <bottom style="medium">
        <color theme="7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7" tint="0.399975585192419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medium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0" tint="-0.14999847407452621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thin">
        <color theme="7" tint="0.79998168889431442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thin">
        <color theme="7" tint="0.79998168889431442"/>
      </right>
      <top/>
      <bottom/>
      <diagonal/>
    </border>
    <border>
      <left style="thin">
        <color theme="0"/>
      </left>
      <right style="thin">
        <color theme="7" tint="0.79998168889431442"/>
      </right>
      <top style="thin">
        <color theme="0"/>
      </top>
      <bottom style="thin">
        <color theme="0"/>
      </bottom>
      <diagonal/>
    </border>
    <border>
      <left style="thin">
        <color theme="7" tint="0.79998168889431442"/>
      </left>
      <right/>
      <top/>
      <bottom style="thin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 style="thin">
        <color theme="0"/>
      </right>
      <top style="thin">
        <color theme="0"/>
      </top>
      <bottom style="thin">
        <color theme="7" tint="0.79998168889431442"/>
      </bottom>
      <diagonal/>
    </border>
    <border>
      <left style="thin">
        <color theme="0"/>
      </left>
      <right style="thin">
        <color theme="7" tint="0.79998168889431442"/>
      </right>
      <top style="thin">
        <color theme="0"/>
      </top>
      <bottom style="thin">
        <color theme="7" tint="0.79998168889431442"/>
      </bottom>
      <diagonal/>
    </border>
    <border>
      <left style="thin">
        <color theme="0" tint="-0.34998626667073579"/>
      </left>
      <right style="medium">
        <color theme="7" tint="0.39997558519241921"/>
      </right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medium">
        <color theme="7" tint="0.39997558519241921"/>
      </right>
      <top style="thin">
        <color theme="0"/>
      </top>
      <bottom/>
      <diagonal/>
    </border>
    <border>
      <left/>
      <right style="medium">
        <color theme="7" tint="0.39997558519241921"/>
      </right>
      <top/>
      <bottom/>
      <diagonal/>
    </border>
    <border>
      <left style="thin">
        <color theme="1" tint="0.34998626667073579"/>
      </left>
      <right style="medium">
        <color theme="7" tint="0.39997558519241921"/>
      </right>
      <top style="thin">
        <color theme="0"/>
      </top>
      <bottom style="thin">
        <color theme="0"/>
      </bottom>
      <diagonal/>
    </border>
    <border>
      <left style="thin">
        <color theme="1" tint="0.34998626667073579"/>
      </left>
      <right style="medium">
        <color theme="7" tint="0.39997558519241921"/>
      </right>
      <top style="thin">
        <color theme="0"/>
      </top>
      <bottom/>
      <diagonal/>
    </border>
    <border>
      <left/>
      <right style="medium">
        <color theme="7" tint="0.39997558519241921"/>
      </right>
      <top style="thin">
        <color theme="0"/>
      </top>
      <bottom style="medium">
        <color theme="7" tint="0.39997558519241921"/>
      </bottom>
      <diagonal/>
    </border>
    <border>
      <left style="thick">
        <color theme="7" tint="0.59999389629810485"/>
      </left>
      <right style="thick">
        <color theme="7" tint="0.59999389629810485"/>
      </right>
      <top style="thick">
        <color theme="7" tint="0.59999389629810485"/>
      </top>
      <bottom style="thick">
        <color theme="7" tint="0.59999389629810485"/>
      </bottom>
      <diagonal/>
    </border>
    <border>
      <left/>
      <right style="thick">
        <color theme="7" tint="0.59999389629810485"/>
      </right>
      <top/>
      <bottom/>
      <diagonal/>
    </border>
    <border>
      <left style="thin">
        <color theme="0" tint="-0.34998626667073579"/>
      </left>
      <right style="medium">
        <color theme="7" tint="0.39997558519241921"/>
      </right>
      <top/>
      <bottom style="thin">
        <color theme="0"/>
      </bottom>
      <diagonal/>
    </border>
    <border>
      <left style="thin">
        <color theme="0"/>
      </left>
      <right/>
      <top/>
      <bottom style="medium">
        <color theme="7" tint="0.39997558519241921"/>
      </bottom>
      <diagonal/>
    </border>
    <border>
      <left style="thin">
        <color theme="0"/>
      </left>
      <right style="thin">
        <color theme="0"/>
      </right>
      <top/>
      <bottom style="medium">
        <color theme="7" tint="0.399975585192419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9" fillId="0" borderId="0" applyFont="0" applyFill="0" applyBorder="0" applyAlignment="0" applyProtection="0"/>
  </cellStyleXfs>
  <cellXfs count="612">
    <xf numFmtId="0" fontId="0" fillId="0" borderId="0" xfId="0"/>
    <xf numFmtId="0" fontId="0" fillId="0" borderId="0" xfId="0" applyFont="1"/>
    <xf numFmtId="0" fontId="0" fillId="0" borderId="0" xfId="0" applyFont="1" applyProtection="1">
      <protection locked="0"/>
    </xf>
    <xf numFmtId="14" fontId="0" fillId="0" borderId="0" xfId="0" applyNumberFormat="1" applyFont="1" applyProtection="1">
      <protection locked="0"/>
    </xf>
    <xf numFmtId="9" fontId="0" fillId="0" borderId="0" xfId="0" applyNumberFormat="1" applyFont="1" applyProtection="1">
      <protection locked="0"/>
    </xf>
    <xf numFmtId="164" fontId="0" fillId="0" borderId="0" xfId="0" applyNumberFormat="1" applyFont="1" applyProtection="1">
      <protection locked="0"/>
    </xf>
    <xf numFmtId="0" fontId="0" fillId="0" borderId="1" xfId="0" applyFont="1" applyBorder="1"/>
    <xf numFmtId="0" fontId="0" fillId="0" borderId="1" xfId="0" applyFont="1" applyBorder="1" applyProtection="1">
      <protection locked="0"/>
    </xf>
    <xf numFmtId="0" fontId="0" fillId="0" borderId="2" xfId="0" applyFont="1" applyBorder="1"/>
    <xf numFmtId="0" fontId="3" fillId="0" borderId="0" xfId="0" applyFont="1" applyAlignment="1" applyProtection="1">
      <alignment wrapText="1"/>
      <protection locked="0"/>
    </xf>
    <xf numFmtId="0" fontId="0" fillId="0" borderId="3" xfId="0" applyBorder="1"/>
    <xf numFmtId="0" fontId="0" fillId="0" borderId="4" xfId="0" applyFont="1" applyBorder="1"/>
    <xf numFmtId="0" fontId="0" fillId="2" borderId="0" xfId="0" applyFont="1" applyFill="1" applyBorder="1"/>
    <xf numFmtId="0" fontId="0" fillId="2" borderId="5" xfId="0" applyFont="1" applyFill="1" applyBorder="1"/>
    <xf numFmtId="0" fontId="5" fillId="2" borderId="6" xfId="1" applyFont="1" applyFill="1" applyBorder="1" applyAlignment="1" applyProtection="1">
      <alignment horizontal="right" vertical="center" indent="4"/>
      <protection locked="0"/>
    </xf>
    <xf numFmtId="0" fontId="0" fillId="0" borderId="10" xfId="0" applyBorder="1"/>
    <xf numFmtId="0" fontId="0" fillId="0" borderId="2" xfId="0" applyFont="1" applyBorder="1" applyProtection="1">
      <protection locked="0"/>
    </xf>
    <xf numFmtId="0" fontId="0" fillId="0" borderId="9" xfId="0" applyBorder="1"/>
    <xf numFmtId="0" fontId="0" fillId="0" borderId="9" xfId="0" applyFont="1" applyBorder="1" applyProtection="1">
      <protection locked="0"/>
    </xf>
    <xf numFmtId="0" fontId="0" fillId="0" borderId="9" xfId="0" applyFont="1" applyBorder="1"/>
    <xf numFmtId="0" fontId="0" fillId="0" borderId="1" xfId="0" applyFont="1" applyBorder="1" applyAlignment="1" applyProtection="1">
      <alignment horizontal="left" vertical="center"/>
      <protection locked="0"/>
    </xf>
    <xf numFmtId="0" fontId="0" fillId="0" borderId="2" xfId="0" applyFont="1" applyBorder="1" applyAlignment="1" applyProtection="1">
      <alignment horizontal="left" vertical="center"/>
      <protection locked="0"/>
    </xf>
    <xf numFmtId="0" fontId="0" fillId="0" borderId="0" xfId="0" applyFont="1" applyBorder="1" applyAlignment="1" applyProtection="1">
      <alignment horizontal="left" vertical="center"/>
      <protection locked="0"/>
    </xf>
    <xf numFmtId="165" fontId="0" fillId="0" borderId="0" xfId="0" applyNumberFormat="1" applyFont="1" applyBorder="1" applyAlignment="1" applyProtection="1">
      <alignment horizontal="left" vertical="center"/>
      <protection locked="0"/>
    </xf>
    <xf numFmtId="0" fontId="0" fillId="0" borderId="0" xfId="0" applyFont="1" applyBorder="1" applyAlignment="1" applyProtection="1">
      <alignment vertical="center"/>
      <protection locked="0"/>
    </xf>
    <xf numFmtId="0" fontId="2" fillId="2" borderId="6" xfId="0" applyFont="1" applyFill="1" applyBorder="1" applyAlignment="1" applyProtection="1">
      <alignment vertical="center"/>
      <protection locked="0"/>
    </xf>
    <xf numFmtId="0" fontId="2" fillId="2" borderId="0" xfId="0" applyFont="1" applyFill="1" applyBorder="1" applyAlignment="1" applyProtection="1">
      <alignment vertical="center"/>
      <protection locked="0"/>
    </xf>
    <xf numFmtId="0" fontId="0" fillId="0" borderId="0" xfId="0" applyNumberFormat="1" applyFont="1" applyBorder="1" applyProtection="1"/>
    <xf numFmtId="0" fontId="0" fillId="0" borderId="1" xfId="0" applyBorder="1"/>
    <xf numFmtId="164" fontId="0" fillId="0" borderId="1" xfId="0" applyNumberFormat="1" applyFont="1" applyBorder="1" applyProtection="1">
      <protection locked="0"/>
    </xf>
    <xf numFmtId="9" fontId="0" fillId="0" borderId="1" xfId="0" applyNumberFormat="1" applyFont="1" applyBorder="1" applyProtection="1">
      <protection locked="0"/>
    </xf>
    <xf numFmtId="0" fontId="7" fillId="0" borderId="0" xfId="1" applyNumberFormat="1" applyFont="1" applyFill="1" applyBorder="1" applyAlignment="1" applyProtection="1">
      <alignment vertical="center"/>
      <protection locked="0"/>
    </xf>
    <xf numFmtId="164" fontId="4" fillId="0" borderId="15" xfId="0" applyNumberFormat="1" applyFont="1" applyBorder="1" applyAlignment="1" applyProtection="1">
      <alignment horizontal="left" vertical="center"/>
      <protection locked="0"/>
    </xf>
    <xf numFmtId="164" fontId="4" fillId="0" borderId="16" xfId="0" applyNumberFormat="1" applyFont="1" applyBorder="1" applyAlignment="1" applyProtection="1">
      <alignment horizontal="left" vertical="center"/>
      <protection locked="0"/>
    </xf>
    <xf numFmtId="0" fontId="0" fillId="0" borderId="15" xfId="0" applyFont="1" applyBorder="1"/>
    <xf numFmtId="0" fontId="0" fillId="0" borderId="16" xfId="0" applyFont="1" applyBorder="1"/>
    <xf numFmtId="0" fontId="2" fillId="2" borderId="19" xfId="0" applyFont="1" applyFill="1" applyBorder="1" applyAlignment="1" applyProtection="1">
      <alignment vertical="center"/>
      <protection locked="0"/>
    </xf>
    <xf numFmtId="0" fontId="4" fillId="0" borderId="0" xfId="1" applyNumberFormat="1" applyFont="1" applyFill="1" applyBorder="1" applyAlignment="1" applyProtection="1">
      <alignment vertical="center"/>
      <protection locked="0"/>
    </xf>
    <xf numFmtId="164" fontId="10" fillId="0" borderId="1" xfId="0" applyNumberFormat="1" applyFont="1" applyBorder="1" applyAlignment="1" applyProtection="1">
      <alignment vertical="center"/>
      <protection locked="0"/>
    </xf>
    <xf numFmtId="164" fontId="10" fillId="0" borderId="2" xfId="0" applyNumberFormat="1" applyFont="1" applyBorder="1" applyAlignment="1" applyProtection="1">
      <alignment vertical="center"/>
      <protection locked="0"/>
    </xf>
    <xf numFmtId="164" fontId="10" fillId="0" borderId="1" xfId="0" applyNumberFormat="1" applyFont="1" applyBorder="1" applyProtection="1">
      <protection locked="0"/>
    </xf>
    <xf numFmtId="164" fontId="10" fillId="0" borderId="0" xfId="0" applyNumberFormat="1" applyFont="1" applyProtection="1">
      <protection locked="0"/>
    </xf>
    <xf numFmtId="164" fontId="10" fillId="0" borderId="0" xfId="0" applyNumberFormat="1" applyFont="1" applyAlignment="1">
      <alignment horizontal="left"/>
    </xf>
    <xf numFmtId="9" fontId="2" fillId="2" borderId="19" xfId="2" applyFont="1" applyFill="1" applyBorder="1" applyAlignment="1" applyProtection="1">
      <alignment vertical="center"/>
      <protection locked="0"/>
    </xf>
    <xf numFmtId="9" fontId="9" fillId="0" borderId="1" xfId="2" applyFont="1" applyBorder="1" applyProtection="1">
      <protection locked="0"/>
    </xf>
    <xf numFmtId="9" fontId="9" fillId="0" borderId="0" xfId="2" applyFont="1" applyBorder="1" applyProtection="1">
      <protection locked="0"/>
    </xf>
    <xf numFmtId="9" fontId="9" fillId="0" borderId="0" xfId="2" applyFont="1" applyProtection="1">
      <protection locked="0"/>
    </xf>
    <xf numFmtId="164" fontId="7" fillId="0" borderId="1" xfId="0" applyNumberFormat="1" applyFont="1" applyBorder="1" applyProtection="1">
      <protection locked="0"/>
    </xf>
    <xf numFmtId="164" fontId="7" fillId="0" borderId="0" xfId="0" applyNumberFormat="1" applyFont="1" applyBorder="1" applyProtection="1">
      <protection locked="0"/>
    </xf>
    <xf numFmtId="164" fontId="7" fillId="0" borderId="0" xfId="0" applyNumberFormat="1" applyFont="1" applyProtection="1">
      <protection locked="0"/>
    </xf>
    <xf numFmtId="164" fontId="0" fillId="0" borderId="1" xfId="0" applyNumberFormat="1" applyFont="1" applyBorder="1" applyAlignment="1" applyProtection="1">
      <alignment vertical="center"/>
      <protection locked="0"/>
    </xf>
    <xf numFmtId="164" fontId="0" fillId="0" borderId="0" xfId="0" applyNumberFormat="1" applyFont="1" applyAlignment="1" applyProtection="1">
      <alignment vertical="center"/>
      <protection locked="0"/>
    </xf>
    <xf numFmtId="9" fontId="0" fillId="0" borderId="15" xfId="0" applyNumberFormat="1" applyFont="1" applyBorder="1" applyProtection="1">
      <protection locked="0"/>
    </xf>
    <xf numFmtId="0" fontId="0" fillId="0" borderId="3" xfId="0" applyFont="1" applyBorder="1"/>
    <xf numFmtId="0" fontId="14" fillId="0" borderId="0" xfId="0" applyFont="1" applyBorder="1" applyAlignment="1" applyProtection="1">
      <alignment vertical="center" wrapText="1"/>
      <protection locked="0"/>
    </xf>
    <xf numFmtId="0" fontId="15" fillId="0" borderId="0" xfId="0" applyFont="1" applyBorder="1" applyAlignment="1" applyProtection="1">
      <alignment vertical="center" wrapText="1"/>
      <protection locked="0"/>
    </xf>
    <xf numFmtId="0" fontId="0" fillId="0" borderId="15" xfId="0" applyBorder="1"/>
    <xf numFmtId="0" fontId="0" fillId="0" borderId="11" xfId="0" applyBorder="1"/>
    <xf numFmtId="0" fontId="0" fillId="0" borderId="4" xfId="0" applyBorder="1"/>
    <xf numFmtId="0" fontId="0" fillId="3" borderId="0" xfId="0" applyFill="1" applyBorder="1"/>
    <xf numFmtId="0" fontId="0" fillId="3" borderId="0" xfId="0" applyFill="1" applyBorder="1" applyAlignment="1">
      <alignment horizontal="right" vertical="center"/>
    </xf>
    <xf numFmtId="0" fontId="0" fillId="2" borderId="28" xfId="0" applyFill="1" applyBorder="1"/>
    <xf numFmtId="0" fontId="0" fillId="0" borderId="30" xfId="0" applyBorder="1"/>
    <xf numFmtId="0" fontId="0" fillId="2" borderId="29" xfId="0" applyFill="1" applyBorder="1"/>
    <xf numFmtId="0" fontId="0" fillId="2" borderId="31" xfId="0" applyFill="1" applyBorder="1"/>
    <xf numFmtId="0" fontId="0" fillId="2" borderId="32" xfId="0" applyFill="1" applyBorder="1"/>
    <xf numFmtId="0" fontId="0" fillId="2" borderId="33" xfId="0" applyFill="1" applyBorder="1"/>
    <xf numFmtId="0" fontId="0" fillId="0" borderId="34" xfId="0" applyBorder="1"/>
    <xf numFmtId="0" fontId="0" fillId="0" borderId="35" xfId="0" applyBorder="1"/>
    <xf numFmtId="164" fontId="7" fillId="0" borderId="0" xfId="0" applyNumberFormat="1" applyFont="1" applyBorder="1" applyAlignment="1" applyProtection="1">
      <alignment horizontal="left" vertical="center"/>
      <protection locked="0"/>
    </xf>
    <xf numFmtId="166" fontId="0" fillId="0" borderId="1" xfId="0" applyNumberFormat="1" applyFont="1" applyBorder="1" applyAlignment="1" applyProtection="1">
      <alignment vertical="center"/>
      <protection locked="0"/>
    </xf>
    <xf numFmtId="166" fontId="0" fillId="0" borderId="2" xfId="0" applyNumberFormat="1" applyFont="1" applyBorder="1" applyAlignment="1" applyProtection="1">
      <alignment vertical="center"/>
      <protection locked="0"/>
    </xf>
    <xf numFmtId="0" fontId="7" fillId="0" borderId="0" xfId="1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11" fillId="2" borderId="7" xfId="1" applyFont="1" applyFill="1" applyBorder="1" applyAlignment="1" applyProtection="1">
      <alignment horizontal="right" vertical="center"/>
      <protection locked="0"/>
    </xf>
    <xf numFmtId="164" fontId="0" fillId="5" borderId="2" xfId="0" applyNumberFormat="1" applyFont="1" applyFill="1" applyBorder="1" applyAlignment="1" applyProtection="1">
      <alignment vertical="center"/>
      <protection locked="0"/>
    </xf>
    <xf numFmtId="0" fontId="0" fillId="2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7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164" fontId="0" fillId="5" borderId="1" xfId="0" applyNumberFormat="1" applyFont="1" applyFill="1" applyBorder="1" applyAlignment="1" applyProtection="1">
      <alignment vertical="center"/>
      <protection locked="0"/>
    </xf>
    <xf numFmtId="164" fontId="9" fillId="5" borderId="1" xfId="2" applyNumberFormat="1" applyFont="1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5" borderId="1" xfId="0" applyFont="1" applyFill="1" applyBorder="1" applyAlignment="1" applyProtection="1">
      <alignment vertical="center" wrapText="1"/>
      <protection locked="0"/>
    </xf>
    <xf numFmtId="0" fontId="0" fillId="0" borderId="1" xfId="0" applyFont="1" applyBorder="1" applyAlignment="1" applyProtection="1">
      <alignment vertical="center" wrapText="1"/>
      <protection locked="0"/>
    </xf>
    <xf numFmtId="164" fontId="9" fillId="0" borderId="1" xfId="2" applyNumberFormat="1" applyFont="1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center" wrapText="1"/>
      <protection locked="0"/>
    </xf>
    <xf numFmtId="164" fontId="9" fillId="0" borderId="0" xfId="2" applyNumberFormat="1" applyFont="1" applyBorder="1" applyAlignment="1" applyProtection="1">
      <alignment vertical="center"/>
      <protection locked="0"/>
    </xf>
    <xf numFmtId="166" fontId="0" fillId="0" borderId="0" xfId="0" applyNumberFormat="1" applyFont="1" applyAlignment="1" applyProtection="1">
      <alignment vertical="center"/>
      <protection locked="0"/>
    </xf>
    <xf numFmtId="0" fontId="0" fillId="0" borderId="0" xfId="0" applyFont="1" applyAlignment="1" applyProtection="1">
      <alignment vertical="center" wrapText="1"/>
      <protection locked="0"/>
    </xf>
    <xf numFmtId="164" fontId="9" fillId="0" borderId="0" xfId="2" applyNumberFormat="1" applyFont="1" applyAlignment="1" applyProtection="1">
      <alignment vertical="center"/>
      <protection locked="0"/>
    </xf>
    <xf numFmtId="166" fontId="10" fillId="0" borderId="0" xfId="0" applyNumberFormat="1" applyFont="1" applyAlignment="1" applyProtection="1">
      <alignment vertical="center"/>
      <protection locked="0"/>
    </xf>
    <xf numFmtId="164" fontId="10" fillId="0" borderId="0" xfId="0" applyNumberFormat="1" applyFont="1" applyAlignment="1" applyProtection="1">
      <alignment vertical="center"/>
      <protection locked="0"/>
    </xf>
    <xf numFmtId="0" fontId="10" fillId="0" borderId="0" xfId="0" applyFont="1" applyAlignment="1" applyProtection="1">
      <alignment vertical="center" wrapText="1"/>
      <protection locked="0"/>
    </xf>
    <xf numFmtId="165" fontId="7" fillId="0" borderId="0" xfId="1" applyNumberFormat="1" applyFont="1" applyFill="1" applyBorder="1" applyAlignment="1" applyProtection="1">
      <alignment horizontal="left" vertical="center"/>
      <protection locked="0"/>
    </xf>
    <xf numFmtId="165" fontId="0" fillId="5" borderId="0" xfId="0" applyNumberFormat="1" applyFill="1" applyAlignment="1">
      <alignment vertical="center"/>
    </xf>
    <xf numFmtId="165" fontId="0" fillId="0" borderId="0" xfId="0" applyNumberFormat="1" applyFont="1" applyAlignment="1" applyProtection="1">
      <alignment vertical="center"/>
      <protection locked="0"/>
    </xf>
    <xf numFmtId="165" fontId="10" fillId="0" borderId="0" xfId="0" applyNumberFormat="1" applyFont="1" applyAlignment="1" applyProtection="1">
      <alignment vertical="center"/>
      <protection locked="0"/>
    </xf>
    <xf numFmtId="0" fontId="6" fillId="2" borderId="0" xfId="1" applyFont="1" applyFill="1" applyBorder="1" applyAlignment="1" applyProtection="1">
      <alignment vertical="center"/>
      <protection locked="0"/>
    </xf>
    <xf numFmtId="164" fontId="10" fillId="0" borderId="11" xfId="0" applyNumberFormat="1" applyFont="1" applyBorder="1" applyAlignment="1">
      <alignment horizontal="left"/>
    </xf>
    <xf numFmtId="164" fontId="10" fillId="0" borderId="15" xfId="0" applyNumberFormat="1" applyFont="1" applyBorder="1" applyAlignment="1">
      <alignment horizontal="left"/>
    </xf>
    <xf numFmtId="0" fontId="23" fillId="5" borderId="0" xfId="0" applyFont="1" applyFill="1" applyBorder="1"/>
    <xf numFmtId="0" fontId="0" fillId="5" borderId="0" xfId="0" applyFont="1" applyFill="1" applyBorder="1"/>
    <xf numFmtId="0" fontId="0" fillId="5" borderId="0" xfId="0" applyFont="1" applyFill="1"/>
    <xf numFmtId="0" fontId="0" fillId="5" borderId="0" xfId="0" applyFont="1" applyFill="1" applyBorder="1" applyProtection="1">
      <protection locked="0"/>
    </xf>
    <xf numFmtId="0" fontId="0" fillId="5" borderId="0" xfId="0" applyFill="1" applyBorder="1"/>
    <xf numFmtId="0" fontId="17" fillId="3" borderId="0" xfId="0" applyFont="1" applyFill="1" applyBorder="1" applyAlignment="1">
      <alignment horizontal="center" vertical="center"/>
    </xf>
    <xf numFmtId="164" fontId="10" fillId="3" borderId="0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0" fontId="17" fillId="0" borderId="0" xfId="0" applyFont="1"/>
    <xf numFmtId="164" fontId="15" fillId="5" borderId="1" xfId="0" applyNumberFormat="1" applyFont="1" applyFill="1" applyBorder="1" applyAlignment="1">
      <alignment horizontal="left" vertical="center" wrapText="1"/>
    </xf>
    <xf numFmtId="164" fontId="15" fillId="0" borderId="1" xfId="0" applyNumberFormat="1" applyFont="1" applyBorder="1" applyAlignment="1">
      <alignment horizontal="left" vertical="center" wrapText="1"/>
    </xf>
    <xf numFmtId="164" fontId="15" fillId="0" borderId="0" xfId="0" applyNumberFormat="1" applyFont="1" applyAlignment="1">
      <alignment horizontal="left" vertical="center" wrapText="1"/>
    </xf>
    <xf numFmtId="164" fontId="29" fillId="0" borderId="0" xfId="0" applyNumberFormat="1" applyFont="1" applyAlignment="1">
      <alignment horizontal="left" vertical="center" wrapText="1"/>
    </xf>
    <xf numFmtId="166" fontId="0" fillId="0" borderId="4" xfId="0" applyNumberFormat="1" applyFont="1" applyBorder="1" applyAlignment="1" applyProtection="1">
      <alignment vertical="center"/>
      <protection locked="0"/>
    </xf>
    <xf numFmtId="164" fontId="0" fillId="0" borderId="4" xfId="0" applyNumberFormat="1" applyFont="1" applyBorder="1" applyAlignment="1" applyProtection="1">
      <alignment vertical="center"/>
      <protection locked="0"/>
    </xf>
    <xf numFmtId="0" fontId="0" fillId="0" borderId="39" xfId="0" applyFont="1" applyFill="1" applyBorder="1" applyAlignment="1" applyProtection="1">
      <alignment vertical="center"/>
      <protection locked="0"/>
    </xf>
    <xf numFmtId="164" fontId="7" fillId="0" borderId="39" xfId="2" applyNumberFormat="1" applyFont="1" applyBorder="1" applyAlignment="1" applyProtection="1">
      <alignment horizontal="left" vertical="center"/>
      <protection locked="0"/>
    </xf>
    <xf numFmtId="0" fontId="28" fillId="0" borderId="0" xfId="0" applyFont="1" applyBorder="1" applyAlignment="1">
      <alignment horizontal="left" vertical="center" wrapText="1"/>
    </xf>
    <xf numFmtId="0" fontId="0" fillId="0" borderId="0" xfId="0" applyFont="1" applyFill="1" applyBorder="1" applyAlignment="1" applyProtection="1">
      <alignment horizontal="left" vertical="center" wrapText="1"/>
      <protection locked="0"/>
    </xf>
    <xf numFmtId="164" fontId="7" fillId="0" borderId="0" xfId="2" applyNumberFormat="1" applyFont="1" applyBorder="1" applyAlignment="1" applyProtection="1">
      <alignment horizontal="left" vertical="center"/>
      <protection locked="0"/>
    </xf>
    <xf numFmtId="164" fontId="28" fillId="0" borderId="0" xfId="0" applyNumberFormat="1" applyFont="1" applyBorder="1" applyAlignment="1">
      <alignment horizontal="left" vertical="center" wrapText="1"/>
    </xf>
    <xf numFmtId="165" fontId="0" fillId="5" borderId="0" xfId="0" applyNumberFormat="1" applyFont="1" applyFill="1" applyBorder="1" applyAlignment="1" applyProtection="1">
      <alignment vertical="center"/>
      <protection locked="0"/>
    </xf>
    <xf numFmtId="164" fontId="15" fillId="0" borderId="0" xfId="0" applyNumberFormat="1" applyFont="1" applyBorder="1" applyAlignment="1">
      <alignment horizontal="left" vertical="center" wrapText="1"/>
    </xf>
    <xf numFmtId="164" fontId="15" fillId="5" borderId="0" xfId="0" applyNumberFormat="1" applyFont="1" applyFill="1" applyBorder="1" applyAlignment="1">
      <alignment horizontal="left" vertical="center" wrapText="1"/>
    </xf>
    <xf numFmtId="164" fontId="31" fillId="0" borderId="0" xfId="2" applyNumberFormat="1" applyFont="1" applyBorder="1" applyAlignment="1" applyProtection="1">
      <alignment horizontal="left" vertical="center"/>
      <protection locked="0"/>
    </xf>
    <xf numFmtId="0" fontId="31" fillId="0" borderId="0" xfId="1" applyFont="1" applyBorder="1" applyAlignment="1" applyProtection="1">
      <alignment horizontal="left" vertical="center" wrapText="1"/>
      <protection locked="0"/>
    </xf>
    <xf numFmtId="49" fontId="31" fillId="0" borderId="0" xfId="0" applyNumberFormat="1" applyFont="1" applyBorder="1" applyAlignment="1" applyProtection="1">
      <alignment horizontal="left" vertical="center"/>
      <protection locked="0"/>
    </xf>
    <xf numFmtId="49" fontId="31" fillId="0" borderId="0" xfId="2" applyNumberFormat="1" applyFont="1" applyBorder="1" applyAlignment="1" applyProtection="1">
      <alignment horizontal="left" vertical="center"/>
      <protection locked="0"/>
    </xf>
    <xf numFmtId="49" fontId="31" fillId="0" borderId="0" xfId="1" applyNumberFormat="1" applyFont="1" applyBorder="1" applyAlignment="1" applyProtection="1">
      <alignment horizontal="left" vertical="center"/>
      <protection locked="0"/>
    </xf>
    <xf numFmtId="49" fontId="15" fillId="0" borderId="0" xfId="0" applyNumberFormat="1" applyFont="1" applyBorder="1" applyAlignment="1">
      <alignment horizontal="left" vertical="center" wrapText="1"/>
    </xf>
    <xf numFmtId="49" fontId="15" fillId="5" borderId="0" xfId="0" applyNumberFormat="1" applyFont="1" applyFill="1" applyBorder="1" applyAlignment="1">
      <alignment horizontal="left" vertical="center" wrapText="1"/>
    </xf>
    <xf numFmtId="49" fontId="15" fillId="0" borderId="0" xfId="0" applyNumberFormat="1" applyFont="1" applyAlignment="1">
      <alignment horizontal="left" vertical="center" wrapText="1"/>
    </xf>
    <xf numFmtId="49" fontId="29" fillId="0" borderId="0" xfId="0" applyNumberFormat="1" applyFont="1" applyAlignment="1">
      <alignment horizontal="left" vertical="center" wrapText="1"/>
    </xf>
    <xf numFmtId="164" fontId="2" fillId="2" borderId="0" xfId="0" applyNumberFormat="1" applyFont="1" applyFill="1" applyBorder="1" applyAlignment="1" applyProtection="1">
      <alignment vertical="center"/>
      <protection locked="0"/>
    </xf>
    <xf numFmtId="164" fontId="32" fillId="0" borderId="0" xfId="2" applyNumberFormat="1" applyFont="1" applyBorder="1" applyAlignment="1" applyProtection="1">
      <alignment horizontal="left" vertical="center" wrapText="1"/>
      <protection locked="0"/>
    </xf>
    <xf numFmtId="164" fontId="14" fillId="0" borderId="40" xfId="0" applyNumberFormat="1" applyFont="1" applyBorder="1" applyAlignment="1">
      <alignment horizontal="left" vertical="center" wrapText="1"/>
    </xf>
    <xf numFmtId="49" fontId="14" fillId="0" borderId="0" xfId="0" applyNumberFormat="1" applyFont="1" applyBorder="1" applyAlignment="1">
      <alignment horizontal="left" vertical="center" wrapText="1"/>
    </xf>
    <xf numFmtId="164" fontId="14" fillId="0" borderId="0" xfId="0" applyNumberFormat="1" applyFont="1" applyBorder="1" applyAlignment="1">
      <alignment horizontal="left" vertical="center" wrapText="1"/>
    </xf>
    <xf numFmtId="164" fontId="14" fillId="5" borderId="1" xfId="0" applyNumberFormat="1" applyFont="1" applyFill="1" applyBorder="1" applyAlignment="1">
      <alignment horizontal="left" vertical="center" wrapText="1"/>
    </xf>
    <xf numFmtId="49" fontId="14" fillId="5" borderId="0" xfId="0" applyNumberFormat="1" applyFont="1" applyFill="1" applyBorder="1" applyAlignment="1">
      <alignment horizontal="left" vertical="center" wrapText="1"/>
    </xf>
    <xf numFmtId="164" fontId="14" fillId="5" borderId="0" xfId="0" applyNumberFormat="1" applyFont="1" applyFill="1" applyBorder="1" applyAlignment="1">
      <alignment horizontal="left" vertical="center" wrapText="1"/>
    </xf>
    <xf numFmtId="0" fontId="14" fillId="5" borderId="0" xfId="0" applyFont="1" applyFill="1" applyAlignment="1">
      <alignment vertical="center"/>
    </xf>
    <xf numFmtId="49" fontId="31" fillId="0" borderId="0" xfId="1" applyNumberFormat="1" applyFont="1" applyBorder="1" applyAlignment="1" applyProtection="1">
      <alignment horizontal="left" vertical="center" wrapText="1"/>
      <protection locked="0"/>
    </xf>
    <xf numFmtId="164" fontId="30" fillId="0" borderId="4" xfId="2" applyNumberFormat="1" applyFont="1" applyBorder="1" applyAlignment="1" applyProtection="1">
      <alignment horizontal="left" vertical="center" wrapText="1"/>
      <protection locked="0"/>
    </xf>
    <xf numFmtId="164" fontId="30" fillId="0" borderId="1" xfId="0" applyNumberFormat="1" applyFont="1" applyBorder="1" applyAlignment="1" applyProtection="1">
      <alignment horizontal="left" vertical="center" wrapText="1"/>
      <protection locked="0"/>
    </xf>
    <xf numFmtId="164" fontId="30" fillId="0" borderId="1" xfId="2" applyNumberFormat="1" applyFont="1" applyBorder="1" applyAlignment="1" applyProtection="1">
      <alignment horizontal="left" vertical="center" wrapText="1"/>
      <protection locked="0"/>
    </xf>
    <xf numFmtId="164" fontId="30" fillId="0" borderId="36" xfId="2" applyNumberFormat="1" applyFont="1" applyBorder="1" applyAlignment="1" applyProtection="1">
      <alignment horizontal="left" vertical="center" wrapText="1"/>
      <protection locked="0"/>
    </xf>
    <xf numFmtId="164" fontId="30" fillId="0" borderId="15" xfId="2" applyNumberFormat="1" applyFont="1" applyBorder="1" applyAlignment="1" applyProtection="1">
      <alignment horizontal="left" vertical="center" wrapText="1"/>
      <protection locked="0"/>
    </xf>
    <xf numFmtId="170" fontId="0" fillId="0" borderId="0" xfId="0" applyNumberFormat="1"/>
    <xf numFmtId="49" fontId="31" fillId="0" borderId="0" xfId="2" applyNumberFormat="1" applyFont="1" applyBorder="1" applyAlignment="1" applyProtection="1">
      <alignment horizontal="left" vertical="center" wrapText="1"/>
      <protection locked="0"/>
    </xf>
    <xf numFmtId="49" fontId="31" fillId="0" borderId="0" xfId="1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164" fontId="10" fillId="5" borderId="15" xfId="0" applyNumberFormat="1" applyFont="1" applyFill="1" applyBorder="1" applyAlignment="1">
      <alignment horizontal="left"/>
    </xf>
    <xf numFmtId="0" fontId="0" fillId="5" borderId="3" xfId="0" applyFont="1" applyFill="1" applyBorder="1"/>
    <xf numFmtId="0" fontId="0" fillId="5" borderId="1" xfId="0" applyFont="1" applyFill="1" applyBorder="1"/>
    <xf numFmtId="164" fontId="10" fillId="5" borderId="11" xfId="0" applyNumberFormat="1" applyFont="1" applyFill="1" applyBorder="1" applyAlignment="1">
      <alignment horizontal="left"/>
    </xf>
    <xf numFmtId="0" fontId="0" fillId="5" borderId="4" xfId="0" applyFill="1" applyBorder="1"/>
    <xf numFmtId="0" fontId="0" fillId="5" borderId="4" xfId="0" applyFont="1" applyFill="1" applyBorder="1"/>
    <xf numFmtId="0" fontId="0" fillId="5" borderId="1" xfId="0" applyFill="1" applyBorder="1"/>
    <xf numFmtId="0" fontId="7" fillId="0" borderId="43" xfId="1" applyNumberFormat="1" applyFont="1" applyFill="1" applyBorder="1" applyAlignment="1" applyProtection="1">
      <alignment horizontal="left" vertical="center"/>
      <protection locked="0"/>
    </xf>
    <xf numFmtId="165" fontId="7" fillId="0" borderId="43" xfId="1" applyNumberFormat="1" applyFont="1" applyFill="1" applyBorder="1" applyAlignment="1" applyProtection="1">
      <alignment horizontal="left" vertical="center"/>
      <protection locked="0"/>
    </xf>
    <xf numFmtId="0" fontId="0" fillId="0" borderId="43" xfId="0" applyFont="1" applyFill="1" applyBorder="1" applyAlignment="1" applyProtection="1">
      <alignment horizontal="left" vertical="center"/>
      <protection locked="0"/>
    </xf>
    <xf numFmtId="164" fontId="7" fillId="0" borderId="43" xfId="0" applyNumberFormat="1" applyFont="1" applyBorder="1" applyAlignment="1" applyProtection="1">
      <alignment horizontal="left" vertical="center"/>
      <protection locked="0"/>
    </xf>
    <xf numFmtId="0" fontId="28" fillId="0" borderId="43" xfId="0" applyFont="1" applyBorder="1" applyAlignment="1">
      <alignment horizontal="left" vertical="center" wrapText="1"/>
    </xf>
    <xf numFmtId="49" fontId="31" fillId="0" borderId="43" xfId="0" applyNumberFormat="1" applyFont="1" applyBorder="1" applyAlignment="1" applyProtection="1">
      <alignment horizontal="left" vertical="center"/>
      <protection locked="0"/>
    </xf>
    <xf numFmtId="49" fontId="31" fillId="0" borderId="43" xfId="0" applyNumberFormat="1" applyFont="1" applyBorder="1" applyAlignment="1" applyProtection="1">
      <alignment horizontal="left" vertical="center" wrapText="1"/>
      <protection locked="0"/>
    </xf>
    <xf numFmtId="164" fontId="31" fillId="0" borderId="43" xfId="0" applyNumberFormat="1" applyFont="1" applyBorder="1" applyAlignment="1" applyProtection="1">
      <alignment horizontal="left" vertical="center"/>
      <protection locked="0"/>
    </xf>
    <xf numFmtId="165" fontId="14" fillId="0" borderId="0" xfId="0" applyNumberFormat="1" applyFont="1" applyBorder="1" applyAlignment="1">
      <alignment horizontal="left" vertical="center" wrapText="1"/>
    </xf>
    <xf numFmtId="165" fontId="14" fillId="5" borderId="0" xfId="0" applyNumberFormat="1" applyFont="1" applyFill="1" applyBorder="1" applyAlignment="1">
      <alignment horizontal="left" vertical="center" wrapText="1"/>
    </xf>
    <xf numFmtId="165" fontId="15" fillId="5" borderId="0" xfId="0" applyNumberFormat="1" applyFont="1" applyFill="1" applyBorder="1" applyAlignment="1">
      <alignment horizontal="left" vertical="center" wrapText="1"/>
    </xf>
    <xf numFmtId="165" fontId="15" fillId="0" borderId="0" xfId="0" applyNumberFormat="1" applyFont="1" applyBorder="1" applyAlignment="1">
      <alignment horizontal="left" vertical="center" wrapText="1"/>
    </xf>
    <xf numFmtId="165" fontId="15" fillId="0" borderId="0" xfId="0" applyNumberFormat="1" applyFont="1" applyAlignment="1">
      <alignment horizontal="left" vertical="center" wrapText="1"/>
    </xf>
    <xf numFmtId="165" fontId="29" fillId="0" borderId="0" xfId="0" applyNumberFormat="1" applyFont="1" applyAlignment="1">
      <alignment horizontal="left" vertical="center" wrapText="1"/>
    </xf>
    <xf numFmtId="164" fontId="13" fillId="0" borderId="0" xfId="0" applyNumberFormat="1" applyFont="1" applyAlignment="1" applyProtection="1">
      <alignment horizontal="left" vertical="center"/>
    </xf>
    <xf numFmtId="164" fontId="34" fillId="0" borderId="0" xfId="0" applyNumberFormat="1" applyFont="1" applyBorder="1" applyAlignment="1" applyProtection="1">
      <alignment horizontal="left" vertical="center"/>
    </xf>
    <xf numFmtId="9" fontId="9" fillId="0" borderId="1" xfId="2" applyFont="1" applyBorder="1" applyProtection="1"/>
    <xf numFmtId="9" fontId="9" fillId="0" borderId="0" xfId="2" applyFont="1" applyBorder="1" applyProtection="1"/>
    <xf numFmtId="9" fontId="9" fillId="0" borderId="0" xfId="2" applyFont="1" applyProtection="1"/>
    <xf numFmtId="9" fontId="13" fillId="0" borderId="15" xfId="2" applyFont="1" applyBorder="1" applyAlignment="1" applyProtection="1">
      <alignment horizontal="left" vertical="center"/>
    </xf>
    <xf numFmtId="9" fontId="13" fillId="0" borderId="16" xfId="2" applyFont="1" applyBorder="1" applyAlignment="1" applyProtection="1">
      <alignment horizontal="left" vertical="center"/>
    </xf>
    <xf numFmtId="9" fontId="13" fillId="0" borderId="1" xfId="2" applyFont="1" applyBorder="1" applyProtection="1"/>
    <xf numFmtId="164" fontId="36" fillId="0" borderId="15" xfId="0" applyNumberFormat="1" applyFont="1" applyBorder="1" applyAlignment="1" applyProtection="1">
      <alignment horizontal="left" vertical="center"/>
    </xf>
    <xf numFmtId="164" fontId="36" fillId="0" borderId="16" xfId="0" applyNumberFormat="1" applyFont="1" applyBorder="1" applyAlignment="1" applyProtection="1">
      <alignment horizontal="left" vertical="center"/>
    </xf>
    <xf numFmtId="9" fontId="36" fillId="0" borderId="1" xfId="0" applyNumberFormat="1" applyFont="1" applyBorder="1" applyProtection="1"/>
    <xf numFmtId="9" fontId="36" fillId="0" borderId="0" xfId="0" applyNumberFormat="1" applyFont="1" applyBorder="1" applyProtection="1"/>
    <xf numFmtId="9" fontId="36" fillId="0" borderId="0" xfId="0" applyNumberFormat="1" applyFont="1" applyProtection="1"/>
    <xf numFmtId="9" fontId="9" fillId="0" borderId="0" xfId="0" applyNumberFormat="1" applyFont="1" applyBorder="1" applyAlignment="1" applyProtection="1">
      <alignment horizontal="left" vertical="center"/>
      <protection locked="0"/>
    </xf>
    <xf numFmtId="9" fontId="9" fillId="0" borderId="0" xfId="2" applyFont="1" applyBorder="1" applyAlignment="1" applyProtection="1">
      <alignment horizontal="left" vertical="center"/>
      <protection locked="0"/>
    </xf>
    <xf numFmtId="9" fontId="10" fillId="0" borderId="15" xfId="2" applyFont="1" applyBorder="1" applyAlignment="1" applyProtection="1">
      <alignment horizontal="left" vertical="center"/>
      <protection locked="0"/>
    </xf>
    <xf numFmtId="9" fontId="10" fillId="0" borderId="16" xfId="2" applyFont="1" applyBorder="1" applyAlignment="1" applyProtection="1">
      <alignment horizontal="left" vertical="center"/>
      <protection locked="0"/>
    </xf>
    <xf numFmtId="164" fontId="34" fillId="0" borderId="15" xfId="0" applyNumberFormat="1" applyFont="1" applyBorder="1" applyAlignment="1" applyProtection="1">
      <alignment horizontal="left" vertical="center"/>
    </xf>
    <xf numFmtId="164" fontId="34" fillId="0" borderId="16" xfId="0" applyNumberFormat="1" applyFont="1" applyBorder="1" applyAlignment="1" applyProtection="1">
      <alignment horizontal="left" vertical="center"/>
    </xf>
    <xf numFmtId="164" fontId="13" fillId="0" borderId="1" xfId="0" applyNumberFormat="1" applyFont="1" applyBorder="1" applyProtection="1"/>
    <xf numFmtId="164" fontId="13" fillId="0" borderId="0" xfId="0" applyNumberFormat="1" applyFont="1" applyBorder="1" applyProtection="1"/>
    <xf numFmtId="164" fontId="13" fillId="0" borderId="0" xfId="0" applyNumberFormat="1" applyFont="1" applyProtection="1"/>
    <xf numFmtId="0" fontId="0" fillId="0" borderId="1" xfId="0" applyBorder="1" applyProtection="1">
      <protection locked="0"/>
    </xf>
    <xf numFmtId="0" fontId="7" fillId="7" borderId="0" xfId="0" applyFont="1" applyFill="1" applyBorder="1" applyAlignment="1" applyProtection="1">
      <alignment horizontal="center" vertical="center"/>
    </xf>
    <xf numFmtId="0" fontId="7" fillId="8" borderId="0" xfId="0" applyFont="1" applyFill="1" applyBorder="1" applyAlignment="1" applyProtection="1">
      <alignment horizontal="center" vertical="center"/>
    </xf>
    <xf numFmtId="0" fontId="7" fillId="6" borderId="0" xfId="0" applyFont="1" applyFill="1" applyBorder="1" applyAlignment="1" applyProtection="1">
      <alignment horizontal="center" vertical="center"/>
    </xf>
    <xf numFmtId="0" fontId="7" fillId="4" borderId="0" xfId="0" applyFont="1" applyFill="1" applyBorder="1" applyAlignment="1" applyProtection="1">
      <alignment horizontal="center" vertical="center"/>
    </xf>
    <xf numFmtId="0" fontId="7" fillId="11" borderId="0" xfId="0" applyFont="1" applyFill="1" applyBorder="1" applyAlignment="1" applyProtection="1">
      <alignment horizontal="center" vertical="center"/>
    </xf>
    <xf numFmtId="0" fontId="7" fillId="9" borderId="0" xfId="0" applyFont="1" applyFill="1" applyBorder="1" applyAlignment="1" applyProtection="1">
      <alignment horizontal="center" vertical="center"/>
    </xf>
    <xf numFmtId="0" fontId="0" fillId="10" borderId="0" xfId="0" applyFont="1" applyFill="1" applyAlignment="1" applyProtection="1">
      <alignment horizontal="center" vertical="center"/>
    </xf>
    <xf numFmtId="164" fontId="30" fillId="0" borderId="43" xfId="0" applyNumberFormat="1" applyFont="1" applyBorder="1" applyAlignment="1" applyProtection="1">
      <alignment horizontal="left" vertical="center" wrapText="1"/>
      <protection locked="0"/>
    </xf>
    <xf numFmtId="14" fontId="8" fillId="2" borderId="5" xfId="1" applyNumberFormat="1" applyFont="1" applyFill="1" applyBorder="1" applyAlignment="1" applyProtection="1">
      <alignment horizontal="center" vertical="center" wrapText="1"/>
      <protection locked="0"/>
    </xf>
    <xf numFmtId="0" fontId="21" fillId="2" borderId="5" xfId="1" applyFont="1" applyFill="1" applyBorder="1" applyAlignment="1" applyProtection="1">
      <alignment horizontal="right" vertical="center"/>
      <protection locked="0"/>
    </xf>
    <xf numFmtId="0" fontId="22" fillId="2" borderId="5" xfId="1" applyNumberFormat="1" applyFont="1" applyFill="1" applyBorder="1" applyAlignment="1" applyProtection="1">
      <alignment horizontal="left" vertical="center" wrapText="1"/>
      <protection locked="0"/>
    </xf>
    <xf numFmtId="0" fontId="6" fillId="2" borderId="5" xfId="1" applyFont="1" applyFill="1" applyBorder="1" applyAlignment="1" applyProtection="1">
      <alignment vertical="center"/>
      <protection locked="0"/>
    </xf>
    <xf numFmtId="0" fontId="11" fillId="2" borderId="5" xfId="1" applyFont="1" applyFill="1" applyBorder="1" applyAlignment="1" applyProtection="1">
      <alignment horizontal="right" vertical="center"/>
      <protection locked="0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0" fillId="0" borderId="0" xfId="0" applyFont="1" applyProtection="1"/>
    <xf numFmtId="0" fontId="0" fillId="5" borderId="0" xfId="0" applyFill="1" applyBorder="1" applyProtection="1"/>
    <xf numFmtId="0" fontId="6" fillId="0" borderId="15" xfId="1" applyFont="1" applyFill="1" applyBorder="1" applyAlignment="1" applyProtection="1">
      <alignment vertical="center"/>
    </xf>
    <xf numFmtId="164" fontId="10" fillId="0" borderId="11" xfId="0" applyNumberFormat="1" applyFont="1" applyBorder="1" applyAlignment="1" applyProtection="1">
      <alignment horizontal="left"/>
    </xf>
    <xf numFmtId="164" fontId="10" fillId="0" borderId="15" xfId="0" applyNumberFormat="1" applyFont="1" applyBorder="1" applyAlignment="1" applyProtection="1">
      <alignment horizontal="left"/>
    </xf>
    <xf numFmtId="164" fontId="10" fillId="5" borderId="15" xfId="0" applyNumberFormat="1" applyFont="1" applyFill="1" applyBorder="1" applyAlignment="1" applyProtection="1">
      <alignment horizontal="left"/>
    </xf>
    <xf numFmtId="0" fontId="23" fillId="5" borderId="0" xfId="0" applyFont="1" applyFill="1" applyBorder="1" applyProtection="1"/>
    <xf numFmtId="0" fontId="0" fillId="5" borderId="0" xfId="0" applyFill="1" applyBorder="1" applyProtection="1">
      <protection locked="0"/>
    </xf>
    <xf numFmtId="0" fontId="31" fillId="0" borderId="0" xfId="1" applyNumberFormat="1" applyFont="1" applyFill="1" applyBorder="1" applyAlignment="1" applyProtection="1">
      <alignment horizontal="left" vertical="center"/>
      <protection locked="0"/>
    </xf>
    <xf numFmtId="164" fontId="31" fillId="12" borderId="0" xfId="2" applyNumberFormat="1" applyFont="1" applyFill="1" applyBorder="1" applyAlignment="1" applyProtection="1">
      <alignment horizontal="left" vertical="center"/>
      <protection locked="0"/>
    </xf>
    <xf numFmtId="165" fontId="14" fillId="5" borderId="0" xfId="0" applyNumberFormat="1" applyFont="1" applyFill="1" applyAlignment="1">
      <alignment horizontal="left" vertical="center"/>
    </xf>
    <xf numFmtId="49" fontId="31" fillId="12" borderId="0" xfId="2" applyNumberFormat="1" applyFont="1" applyFill="1" applyBorder="1" applyAlignment="1" applyProtection="1">
      <alignment horizontal="left" vertical="center"/>
      <protection locked="0"/>
    </xf>
    <xf numFmtId="49" fontId="31" fillId="0" borderId="0" xfId="1" applyNumberFormat="1" applyFont="1" applyFill="1" applyBorder="1" applyAlignment="1" applyProtection="1">
      <alignment horizontal="left" vertical="center"/>
      <protection locked="0"/>
    </xf>
    <xf numFmtId="49" fontId="14" fillId="5" borderId="0" xfId="0" applyNumberFormat="1" applyFont="1" applyFill="1" applyAlignment="1">
      <alignment horizontal="left" vertical="center"/>
    </xf>
    <xf numFmtId="170" fontId="14" fillId="0" borderId="0" xfId="0" applyNumberFormat="1" applyFont="1" applyBorder="1" applyAlignment="1">
      <alignment horizontal="left" vertical="center"/>
    </xf>
    <xf numFmtId="170" fontId="14" fillId="0" borderId="43" xfId="0" applyNumberFormat="1" applyFont="1" applyBorder="1" applyAlignment="1">
      <alignment horizontal="left" vertical="center"/>
    </xf>
    <xf numFmtId="170" fontId="14" fillId="0" borderId="0" xfId="0" applyNumberFormat="1" applyFont="1" applyAlignment="1">
      <alignment horizontal="left" vertical="center"/>
    </xf>
    <xf numFmtId="0" fontId="37" fillId="0" borderId="0" xfId="0" applyFont="1" applyAlignment="1">
      <alignment horizontal="left" vertical="center"/>
    </xf>
    <xf numFmtId="164" fontId="31" fillId="0" borderId="16" xfId="2" applyNumberFormat="1" applyFont="1" applyBorder="1" applyAlignment="1" applyProtection="1">
      <alignment horizontal="left" vertical="center" wrapText="1"/>
      <protection locked="0"/>
    </xf>
    <xf numFmtId="164" fontId="31" fillId="0" borderId="0" xfId="2" applyNumberFormat="1" applyFont="1" applyAlignment="1" applyProtection="1">
      <alignment vertical="center" wrapText="1"/>
      <protection locked="0"/>
    </xf>
    <xf numFmtId="170" fontId="11" fillId="2" borderId="5" xfId="1" applyNumberFormat="1" applyFont="1" applyFill="1" applyBorder="1" applyAlignment="1" applyProtection="1">
      <alignment horizontal="right" vertical="center"/>
      <protection locked="0"/>
    </xf>
    <xf numFmtId="170" fontId="2" fillId="2" borderId="0" xfId="0" applyNumberFormat="1" applyFont="1" applyFill="1" applyBorder="1" applyAlignment="1" applyProtection="1">
      <alignment vertical="center"/>
      <protection locked="0"/>
    </xf>
    <xf numFmtId="49" fontId="31" fillId="12" borderId="0" xfId="2" applyNumberFormat="1" applyFont="1" applyFill="1" applyBorder="1" applyAlignment="1" applyProtection="1">
      <alignment horizontal="left" vertical="center" wrapText="1"/>
      <protection locked="0"/>
    </xf>
    <xf numFmtId="170" fontId="14" fillId="12" borderId="0" xfId="0" applyNumberFormat="1" applyFont="1" applyFill="1" applyBorder="1" applyAlignment="1">
      <alignment horizontal="left" vertical="center"/>
    </xf>
    <xf numFmtId="0" fontId="11" fillId="2" borderId="5" xfId="1" applyFont="1" applyFill="1" applyBorder="1" applyAlignment="1" applyProtection="1">
      <alignment horizontal="left" vertical="center"/>
      <protection locked="0"/>
    </xf>
    <xf numFmtId="1" fontId="24" fillId="5" borderId="38" xfId="0" applyNumberFormat="1" applyFont="1" applyFill="1" applyBorder="1" applyAlignment="1" applyProtection="1">
      <alignment horizontal="center" vertical="center"/>
      <protection locked="0"/>
    </xf>
    <xf numFmtId="1" fontId="24" fillId="5" borderId="37" xfId="0" applyNumberFormat="1" applyFont="1" applyFill="1" applyBorder="1" applyAlignment="1" applyProtection="1">
      <alignment horizontal="center" vertical="center"/>
      <protection locked="0"/>
    </xf>
    <xf numFmtId="165" fontId="31" fillId="0" borderId="0" xfId="1" applyNumberFormat="1" applyFont="1" applyBorder="1" applyAlignment="1" applyProtection="1">
      <alignment horizontal="left" vertical="center" wrapText="1"/>
      <protection locked="0"/>
    </xf>
    <xf numFmtId="165" fontId="31" fillId="0" borderId="0" xfId="1" applyNumberFormat="1" applyFont="1" applyBorder="1" applyAlignment="1" applyProtection="1">
      <alignment horizontal="left" vertical="center"/>
      <protection locked="0"/>
    </xf>
    <xf numFmtId="165" fontId="31" fillId="0" borderId="0" xfId="2" applyNumberFormat="1" applyFont="1" applyBorder="1" applyAlignment="1" applyProtection="1">
      <alignment horizontal="left" vertical="center"/>
      <protection locked="0"/>
    </xf>
    <xf numFmtId="165" fontId="31" fillId="12" borderId="0" xfId="2" applyNumberFormat="1" applyFont="1" applyFill="1" applyBorder="1" applyAlignment="1" applyProtection="1">
      <alignment horizontal="left" vertical="center"/>
      <protection locked="0"/>
    </xf>
    <xf numFmtId="165" fontId="31" fillId="0" borderId="0" xfId="1" applyNumberFormat="1" applyFont="1" applyFill="1" applyBorder="1" applyAlignment="1" applyProtection="1">
      <alignment horizontal="left" vertical="center"/>
      <protection locked="0"/>
    </xf>
    <xf numFmtId="165" fontId="31" fillId="0" borderId="0" xfId="0" applyNumberFormat="1" applyFont="1" applyBorder="1" applyAlignment="1" applyProtection="1">
      <alignment horizontal="left" vertical="center"/>
      <protection locked="0"/>
    </xf>
    <xf numFmtId="165" fontId="31" fillId="0" borderId="43" xfId="0" applyNumberFormat="1" applyFont="1" applyBorder="1" applyAlignment="1" applyProtection="1">
      <alignment horizontal="left" vertical="center"/>
      <protection locked="0"/>
    </xf>
    <xf numFmtId="165" fontId="0" fillId="0" borderId="36" xfId="0" applyNumberFormat="1" applyFont="1" applyBorder="1" applyAlignment="1" applyProtection="1">
      <alignment vertical="center"/>
      <protection locked="0"/>
    </xf>
    <xf numFmtId="165" fontId="0" fillId="5" borderId="16" xfId="0" applyNumberFormat="1" applyFont="1" applyFill="1" applyBorder="1" applyAlignment="1" applyProtection="1">
      <alignment vertical="center"/>
      <protection locked="0"/>
    </xf>
    <xf numFmtId="165" fontId="0" fillId="5" borderId="15" xfId="0" applyNumberFormat="1" applyFont="1" applyFill="1" applyBorder="1" applyAlignment="1" applyProtection="1">
      <alignment vertical="center"/>
      <protection locked="0"/>
    </xf>
    <xf numFmtId="165" fontId="0" fillId="0" borderId="15" xfId="0" applyNumberFormat="1" applyFont="1" applyBorder="1" applyAlignment="1" applyProtection="1">
      <alignment vertical="center"/>
      <protection locked="0"/>
    </xf>
    <xf numFmtId="165" fontId="0" fillId="0" borderId="44" xfId="0" applyNumberFormat="1" applyFont="1" applyBorder="1" applyAlignment="1" applyProtection="1">
      <alignment vertical="center"/>
      <protection locked="0"/>
    </xf>
    <xf numFmtId="165" fontId="0" fillId="5" borderId="3" xfId="0" applyNumberFormat="1" applyFont="1" applyFill="1" applyBorder="1" applyAlignment="1" applyProtection="1">
      <alignment vertical="center"/>
      <protection locked="0"/>
    </xf>
    <xf numFmtId="165" fontId="0" fillId="0" borderId="3" xfId="0" applyNumberFormat="1" applyFont="1" applyBorder="1" applyAlignment="1" applyProtection="1">
      <alignment vertical="center"/>
      <protection locked="0"/>
    </xf>
    <xf numFmtId="49" fontId="40" fillId="0" borderId="0" xfId="1" applyNumberFormat="1" applyFont="1" applyFill="1" applyBorder="1" applyAlignment="1" applyProtection="1">
      <alignment horizontal="left" vertical="center"/>
      <protection locked="0"/>
    </xf>
    <xf numFmtId="49" fontId="40" fillId="0" borderId="0" xfId="1" applyNumberFormat="1" applyFont="1" applyBorder="1" applyAlignment="1" applyProtection="1">
      <alignment horizontal="left" vertical="center"/>
      <protection locked="0"/>
    </xf>
    <xf numFmtId="49" fontId="40" fillId="0" borderId="0" xfId="2" applyNumberFormat="1" applyFont="1" applyBorder="1" applyAlignment="1" applyProtection="1">
      <alignment horizontal="left" vertical="center"/>
      <protection locked="0"/>
    </xf>
    <xf numFmtId="164" fontId="7" fillId="2" borderId="0" xfId="0" applyNumberFormat="1" applyFont="1" applyFill="1" applyProtection="1">
      <protection locked="0"/>
    </xf>
    <xf numFmtId="164" fontId="4" fillId="2" borderId="0" xfId="0" applyNumberFormat="1" applyFont="1" applyFill="1" applyProtection="1">
      <protection locked="0"/>
    </xf>
    <xf numFmtId="0" fontId="7" fillId="2" borderId="0" xfId="0" applyFont="1" applyFill="1" applyProtection="1">
      <protection locked="0"/>
    </xf>
    <xf numFmtId="0" fontId="41" fillId="2" borderId="0" xfId="0" applyFont="1" applyFill="1" applyAlignment="1" applyProtection="1">
      <alignment wrapText="1"/>
      <protection locked="0"/>
    </xf>
    <xf numFmtId="9" fontId="7" fillId="2" borderId="0" xfId="0" applyNumberFormat="1" applyFont="1" applyFill="1" applyProtection="1">
      <protection locked="0"/>
    </xf>
    <xf numFmtId="0" fontId="7" fillId="2" borderId="0" xfId="0" applyFont="1" applyFill="1"/>
    <xf numFmtId="164" fontId="7" fillId="2" borderId="0" xfId="0" applyNumberFormat="1" applyFont="1" applyFill="1" applyProtection="1"/>
    <xf numFmtId="9" fontId="7" fillId="2" borderId="0" xfId="2" applyFont="1" applyFill="1" applyProtection="1">
      <protection locked="0"/>
    </xf>
    <xf numFmtId="9" fontId="7" fillId="2" borderId="0" xfId="2" applyFont="1" applyFill="1" applyProtection="1"/>
    <xf numFmtId="9" fontId="7" fillId="2" borderId="0" xfId="0" applyNumberFormat="1" applyFont="1" applyFill="1" applyProtection="1"/>
    <xf numFmtId="164" fontId="4" fillId="2" borderId="0" xfId="0" applyNumberFormat="1" applyFont="1" applyFill="1" applyAlignment="1">
      <alignment horizontal="left"/>
    </xf>
    <xf numFmtId="0" fontId="39" fillId="2" borderId="0" xfId="0" applyFont="1" applyFill="1" applyAlignment="1">
      <alignment horizontal="left"/>
    </xf>
    <xf numFmtId="14" fontId="39" fillId="2" borderId="7" xfId="1" applyNumberFormat="1" applyFont="1" applyFill="1" applyBorder="1" applyAlignment="1" applyProtection="1">
      <alignment horizontal="left" vertical="center" wrapText="1"/>
      <protection locked="0"/>
    </xf>
    <xf numFmtId="0" fontId="39" fillId="2" borderId="7" xfId="1" applyFont="1" applyFill="1" applyBorder="1" applyAlignment="1" applyProtection="1">
      <alignment horizontal="left" vertical="center"/>
      <protection locked="0"/>
    </xf>
    <xf numFmtId="0" fontId="39" fillId="2" borderId="8" xfId="1" applyFont="1" applyFill="1" applyBorder="1" applyAlignment="1" applyProtection="1">
      <alignment horizontal="left" vertical="center"/>
      <protection locked="0"/>
    </xf>
    <xf numFmtId="0" fontId="39" fillId="0" borderId="0" xfId="0" applyFont="1" applyAlignment="1">
      <alignment horizontal="left"/>
    </xf>
    <xf numFmtId="0" fontId="39" fillId="0" borderId="0" xfId="0" applyFont="1" applyBorder="1" applyAlignment="1" applyProtection="1">
      <alignment horizontal="left" vertical="center"/>
      <protection locked="0"/>
    </xf>
    <xf numFmtId="0" fontId="39" fillId="0" borderId="0" xfId="1" applyNumberFormat="1" applyFont="1" applyFill="1" applyBorder="1" applyAlignment="1" applyProtection="1">
      <alignment horizontal="left" vertical="center"/>
      <protection locked="0"/>
    </xf>
    <xf numFmtId="0" fontId="43" fillId="2" borderId="7" xfId="1" applyFont="1" applyFill="1" applyBorder="1" applyAlignment="1" applyProtection="1">
      <alignment horizontal="center" vertical="center"/>
      <protection locked="0"/>
    </xf>
    <xf numFmtId="49" fontId="38" fillId="0" borderId="0" xfId="0" applyNumberFormat="1" applyFont="1" applyAlignment="1">
      <alignment horizontal="left" vertical="center"/>
    </xf>
    <xf numFmtId="49" fontId="37" fillId="0" borderId="0" xfId="0" applyNumberFormat="1" applyFont="1" applyAlignment="1">
      <alignment horizontal="left" vertical="center"/>
    </xf>
    <xf numFmtId="49" fontId="30" fillId="0" borderId="0" xfId="2" applyNumberFormat="1" applyFont="1" applyBorder="1" applyAlignment="1" applyProtection="1">
      <alignment horizontal="left" vertical="center" wrapText="1"/>
      <protection locked="0"/>
    </xf>
    <xf numFmtId="49" fontId="14" fillId="0" borderId="0" xfId="0" applyNumberFormat="1" applyFont="1" applyAlignment="1">
      <alignment horizontal="left" vertical="center"/>
    </xf>
    <xf numFmtId="165" fontId="31" fillId="0" borderId="0" xfId="2" applyNumberFormat="1" applyFont="1" applyFill="1" applyBorder="1" applyAlignment="1" applyProtection="1">
      <alignment horizontal="left" vertical="center"/>
      <protection locked="0"/>
    </xf>
    <xf numFmtId="165" fontId="44" fillId="0" borderId="0" xfId="2" applyNumberFormat="1" applyFont="1" applyBorder="1" applyAlignment="1" applyProtection="1">
      <alignment horizontal="left" vertical="center"/>
      <protection locked="0"/>
    </xf>
    <xf numFmtId="49" fontId="37" fillId="0" borderId="0" xfId="0" applyNumberFormat="1" applyFont="1" applyAlignment="1">
      <alignment horizontal="left" vertical="center" wrapText="1"/>
    </xf>
    <xf numFmtId="49" fontId="14" fillId="12" borderId="0" xfId="0" applyNumberFormat="1" applyFont="1" applyFill="1" applyAlignment="1">
      <alignment horizontal="left" vertical="center"/>
    </xf>
    <xf numFmtId="49" fontId="46" fillId="0" borderId="0" xfId="0" applyNumberFormat="1" applyFont="1" applyAlignment="1">
      <alignment horizontal="left" vertical="center"/>
    </xf>
    <xf numFmtId="49" fontId="30" fillId="0" borderId="0" xfId="0" applyNumberFormat="1" applyFont="1" applyBorder="1" applyAlignment="1" applyProtection="1">
      <alignment horizontal="left" vertical="center" wrapText="1"/>
      <protection locked="0"/>
    </xf>
    <xf numFmtId="0" fontId="45" fillId="5" borderId="0" xfId="0" applyFont="1" applyFill="1" applyBorder="1" applyProtection="1"/>
    <xf numFmtId="164" fontId="47" fillId="0" borderId="15" xfId="0" applyNumberFormat="1" applyFont="1" applyBorder="1" applyAlignment="1" applyProtection="1">
      <alignment horizontal="left"/>
    </xf>
    <xf numFmtId="0" fontId="18" fillId="5" borderId="0" xfId="0" applyFont="1" applyFill="1" applyProtection="1"/>
    <xf numFmtId="0" fontId="18" fillId="5" borderId="0" xfId="0" applyFont="1" applyFill="1" applyBorder="1" applyAlignment="1" applyProtection="1">
      <alignment horizontal="center"/>
    </xf>
    <xf numFmtId="0" fontId="18" fillId="5" borderId="0" xfId="0" applyFont="1" applyFill="1" applyBorder="1"/>
    <xf numFmtId="0" fontId="18" fillId="0" borderId="3" xfId="0" applyFont="1" applyBorder="1"/>
    <xf numFmtId="0" fontId="18" fillId="0" borderId="1" xfId="0" applyFont="1" applyBorder="1"/>
    <xf numFmtId="0" fontId="18" fillId="0" borderId="0" xfId="0" applyFont="1"/>
    <xf numFmtId="164" fontId="20" fillId="0" borderId="11" xfId="0" applyNumberFormat="1" applyFont="1" applyBorder="1" applyAlignment="1" applyProtection="1">
      <alignment horizontal="left"/>
    </xf>
    <xf numFmtId="0" fontId="14" fillId="5" borderId="0" xfId="0" applyFont="1" applyFill="1" applyProtection="1"/>
    <xf numFmtId="168" fontId="47" fillId="5" borderId="0" xfId="0" applyNumberFormat="1" applyFont="1" applyFill="1" applyBorder="1" applyAlignment="1" applyProtection="1">
      <alignment horizontal="center" vertical="top"/>
    </xf>
    <xf numFmtId="169" fontId="47" fillId="5" borderId="0" xfId="0" applyNumberFormat="1" applyFont="1" applyFill="1" applyBorder="1" applyAlignment="1" applyProtection="1">
      <alignment horizontal="center" vertical="top"/>
    </xf>
    <xf numFmtId="164" fontId="47" fillId="5" borderId="0" xfId="0" applyNumberFormat="1" applyFont="1" applyFill="1" applyBorder="1" applyAlignment="1" applyProtection="1">
      <alignment horizontal="center" vertical="top"/>
    </xf>
    <xf numFmtId="7" fontId="47" fillId="5" borderId="0" xfId="0" applyNumberFormat="1" applyFont="1" applyFill="1" applyBorder="1" applyAlignment="1" applyProtection="1">
      <alignment horizontal="center" vertical="top"/>
    </xf>
    <xf numFmtId="167" fontId="47" fillId="5" borderId="0" xfId="0" applyNumberFormat="1" applyFont="1" applyFill="1" applyBorder="1" applyAlignment="1" applyProtection="1">
      <alignment horizontal="center" vertical="top"/>
    </xf>
    <xf numFmtId="0" fontId="14" fillId="5" borderId="0" xfId="0" applyFont="1" applyFill="1" applyBorder="1"/>
    <xf numFmtId="0" fontId="14" fillId="0" borderId="3" xfId="0" applyFont="1" applyBorder="1"/>
    <xf numFmtId="0" fontId="14" fillId="0" borderId="1" xfId="0" applyFont="1" applyBorder="1"/>
    <xf numFmtId="0" fontId="14" fillId="0" borderId="0" xfId="0" applyFont="1"/>
    <xf numFmtId="49" fontId="40" fillId="0" borderId="0" xfId="0" applyNumberFormat="1" applyFont="1" applyAlignment="1">
      <alignment horizontal="left" vertical="center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3" fillId="5" borderId="0" xfId="0" applyFont="1" applyFill="1" applyAlignment="1">
      <alignment horizontal="left"/>
    </xf>
    <xf numFmtId="0" fontId="23" fillId="5" borderId="0" xfId="0" applyNumberFormat="1" applyFont="1" applyFill="1"/>
    <xf numFmtId="0" fontId="0" fillId="0" borderId="10" xfId="0" applyFont="1" applyBorder="1"/>
    <xf numFmtId="0" fontId="0" fillId="0" borderId="44" xfId="0" applyFont="1" applyBorder="1"/>
    <xf numFmtId="0" fontId="7" fillId="0" borderId="0" xfId="0" applyFont="1" applyBorder="1" applyAlignment="1" applyProtection="1">
      <alignment horizontal="left" vertical="center"/>
      <protection locked="0"/>
    </xf>
    <xf numFmtId="164" fontId="10" fillId="5" borderId="16" xfId="0" applyNumberFormat="1" applyFont="1" applyFill="1" applyBorder="1" applyAlignment="1">
      <alignment horizontal="left"/>
    </xf>
    <xf numFmtId="0" fontId="0" fillId="5" borderId="10" xfId="0" applyFont="1" applyFill="1" applyBorder="1"/>
    <xf numFmtId="0" fontId="0" fillId="5" borderId="2" xfId="0" applyFont="1" applyFill="1" applyBorder="1"/>
    <xf numFmtId="164" fontId="10" fillId="5" borderId="12" xfId="0" applyNumberFormat="1" applyFont="1" applyFill="1" applyBorder="1" applyAlignment="1">
      <alignment horizontal="left"/>
    </xf>
    <xf numFmtId="0" fontId="23" fillId="5" borderId="16" xfId="0" applyNumberFormat="1" applyFont="1" applyFill="1" applyBorder="1"/>
    <xf numFmtId="0" fontId="23" fillId="5" borderId="39" xfId="0" applyNumberFormat="1" applyFont="1" applyFill="1" applyBorder="1"/>
    <xf numFmtId="0" fontId="23" fillId="5" borderId="36" xfId="0" applyNumberFormat="1" applyFont="1" applyFill="1" applyBorder="1"/>
    <xf numFmtId="0" fontId="23" fillId="5" borderId="15" xfId="0" applyNumberFormat="1" applyFont="1" applyFill="1" applyBorder="1"/>
    <xf numFmtId="0" fontId="23" fillId="5" borderId="16" xfId="0" applyFont="1" applyFill="1" applyBorder="1" applyAlignment="1">
      <alignment horizontal="left"/>
    </xf>
    <xf numFmtId="0" fontId="23" fillId="5" borderId="39" xfId="0" applyFont="1" applyFill="1" applyBorder="1" applyAlignment="1">
      <alignment horizontal="left"/>
    </xf>
    <xf numFmtId="0" fontId="23" fillId="5" borderId="36" xfId="0" applyFont="1" applyFill="1" applyBorder="1" applyAlignment="1">
      <alignment horizontal="left"/>
    </xf>
    <xf numFmtId="0" fontId="23" fillId="5" borderId="15" xfId="0" applyFont="1" applyFill="1" applyBorder="1" applyAlignment="1">
      <alignment horizontal="left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0" borderId="1" xfId="0" applyFont="1" applyFill="1" applyBorder="1" applyAlignment="1" applyProtection="1">
      <alignment vertical="center"/>
      <protection locked="0"/>
    </xf>
    <xf numFmtId="0" fontId="7" fillId="0" borderId="2" xfId="0" applyFont="1" applyFill="1" applyBorder="1" applyAlignment="1" applyProtection="1">
      <alignment vertical="center"/>
      <protection locked="0"/>
    </xf>
    <xf numFmtId="0" fontId="41" fillId="0" borderId="1" xfId="0" applyFont="1" applyBorder="1" applyAlignment="1" applyProtection="1">
      <alignment wrapText="1"/>
      <protection locked="0"/>
    </xf>
    <xf numFmtId="0" fontId="41" fillId="0" borderId="0" xfId="0" applyFont="1" applyAlignment="1" applyProtection="1">
      <alignment wrapText="1"/>
      <protection locked="0"/>
    </xf>
    <xf numFmtId="164" fontId="7" fillId="0" borderId="15" xfId="0" applyNumberFormat="1" applyFont="1" applyBorder="1" applyAlignment="1" applyProtection="1">
      <alignment horizontal="left" vertical="center"/>
      <protection locked="0"/>
    </xf>
    <xf numFmtId="164" fontId="52" fillId="0" borderId="0" xfId="0" applyNumberFormat="1" applyFont="1" applyAlignment="1" applyProtection="1">
      <alignment horizontal="center" vertical="center"/>
      <protection locked="0"/>
    </xf>
    <xf numFmtId="0" fontId="25" fillId="0" borderId="12" xfId="0" applyFont="1" applyBorder="1" applyAlignment="1">
      <alignment horizontal="center" vertical="center"/>
    </xf>
    <xf numFmtId="0" fontId="0" fillId="5" borderId="44" xfId="0" applyFont="1" applyFill="1" applyBorder="1"/>
    <xf numFmtId="0" fontId="23" fillId="5" borderId="1" xfId="0" applyFont="1" applyFill="1" applyBorder="1" applyProtection="1"/>
    <xf numFmtId="0" fontId="23" fillId="5" borderId="1" xfId="0" applyFont="1" applyFill="1" applyBorder="1"/>
    <xf numFmtId="0" fontId="23" fillId="5" borderId="3" xfId="0" applyFont="1" applyFill="1" applyBorder="1"/>
    <xf numFmtId="0" fontId="23" fillId="5" borderId="0" xfId="0" applyFont="1" applyFill="1" applyBorder="1" applyAlignment="1" applyProtection="1"/>
    <xf numFmtId="0" fontId="23" fillId="5" borderId="12" xfId="0" applyFont="1" applyFill="1" applyBorder="1" applyAlignment="1" applyProtection="1"/>
    <xf numFmtId="0" fontId="51" fillId="5" borderId="12" xfId="0" applyFont="1" applyFill="1" applyBorder="1" applyAlignment="1" applyProtection="1"/>
    <xf numFmtId="164" fontId="53" fillId="0" borderId="39" xfId="2" applyNumberFormat="1" applyFont="1" applyBorder="1" applyAlignment="1" applyProtection="1">
      <alignment horizontal="left" vertical="center"/>
      <protection locked="0"/>
    </xf>
    <xf numFmtId="164" fontId="53" fillId="5" borderId="16" xfId="2" applyNumberFormat="1" applyFont="1" applyFill="1" applyBorder="1" applyAlignment="1" applyProtection="1">
      <alignment horizontal="left" vertical="center"/>
      <protection locked="0"/>
    </xf>
    <xf numFmtId="164" fontId="15" fillId="5" borderId="15" xfId="2" applyNumberFormat="1" applyFont="1" applyFill="1" applyBorder="1" applyAlignment="1" applyProtection="1">
      <alignment vertical="center"/>
      <protection locked="0"/>
    </xf>
    <xf numFmtId="164" fontId="15" fillId="5" borderId="1" xfId="2" applyNumberFormat="1" applyFont="1" applyFill="1" applyBorder="1" applyAlignment="1" applyProtection="1">
      <alignment vertical="center"/>
      <protection locked="0"/>
    </xf>
    <xf numFmtId="0" fontId="15" fillId="5" borderId="0" xfId="0" applyFont="1" applyFill="1" applyAlignment="1">
      <alignment vertical="center"/>
    </xf>
    <xf numFmtId="164" fontId="15" fillId="0" borderId="1" xfId="2" applyNumberFormat="1" applyFont="1" applyBorder="1" applyAlignment="1" applyProtection="1">
      <alignment vertical="center"/>
      <protection locked="0"/>
    </xf>
    <xf numFmtId="164" fontId="15" fillId="0" borderId="0" xfId="2" applyNumberFormat="1" applyFont="1" applyBorder="1" applyAlignment="1" applyProtection="1">
      <alignment vertical="center"/>
      <protection locked="0"/>
    </xf>
    <xf numFmtId="164" fontId="15" fillId="0" borderId="0" xfId="2" applyNumberFormat="1" applyFont="1" applyAlignment="1" applyProtection="1">
      <alignment vertical="center"/>
      <protection locked="0"/>
    </xf>
    <xf numFmtId="49" fontId="38" fillId="0" borderId="0" xfId="0" applyNumberFormat="1" applyFont="1" applyAlignment="1">
      <alignment horizontal="left" vertical="center" wrapText="1"/>
    </xf>
    <xf numFmtId="0" fontId="7" fillId="2" borderId="6" xfId="0" applyFont="1" applyFill="1" applyBorder="1" applyAlignment="1" applyProtection="1">
      <alignment vertical="center"/>
      <protection locked="0"/>
    </xf>
    <xf numFmtId="164" fontId="2" fillId="2" borderId="19" xfId="0" applyNumberFormat="1" applyFont="1" applyFill="1" applyBorder="1" applyAlignment="1" applyProtection="1">
      <alignment vertical="center"/>
      <protection locked="0"/>
    </xf>
    <xf numFmtId="164" fontId="10" fillId="0" borderId="4" xfId="0" applyNumberFormat="1" applyFont="1" applyBorder="1" applyAlignment="1" applyProtection="1">
      <alignment vertical="center"/>
      <protection locked="0"/>
    </xf>
    <xf numFmtId="0" fontId="0" fillId="0" borderId="4" xfId="0" applyFont="1" applyBorder="1" applyAlignment="1" applyProtection="1">
      <alignment horizontal="left" vertical="center"/>
      <protection locked="0"/>
    </xf>
    <xf numFmtId="0" fontId="7" fillId="0" borderId="4" xfId="0" applyFont="1" applyFill="1" applyBorder="1" applyAlignment="1" applyProtection="1">
      <alignment vertical="center"/>
      <protection locked="0"/>
    </xf>
    <xf numFmtId="164" fontId="7" fillId="0" borderId="36" xfId="0" applyNumberFormat="1" applyFont="1" applyBorder="1" applyAlignment="1" applyProtection="1">
      <alignment horizontal="left" vertical="center"/>
      <protection locked="0"/>
    </xf>
    <xf numFmtId="0" fontId="0" fillId="0" borderId="4" xfId="0" applyBorder="1" applyProtection="1">
      <protection locked="0"/>
    </xf>
    <xf numFmtId="164" fontId="4" fillId="0" borderId="36" xfId="0" applyNumberFormat="1" applyFont="1" applyBorder="1" applyAlignment="1" applyProtection="1">
      <alignment horizontal="left" vertical="center"/>
      <protection locked="0"/>
    </xf>
    <xf numFmtId="164" fontId="34" fillId="0" borderId="36" xfId="0" applyNumberFormat="1" applyFont="1" applyBorder="1" applyAlignment="1" applyProtection="1">
      <alignment horizontal="left" vertical="center"/>
    </xf>
    <xf numFmtId="9" fontId="10" fillId="0" borderId="36" xfId="2" applyFont="1" applyBorder="1" applyAlignment="1" applyProtection="1">
      <alignment horizontal="left" vertical="center"/>
      <protection locked="0"/>
    </xf>
    <xf numFmtId="9" fontId="13" fillId="0" borderId="36" xfId="2" applyFont="1" applyBorder="1" applyAlignment="1" applyProtection="1">
      <alignment horizontal="left" vertical="center"/>
    </xf>
    <xf numFmtId="164" fontId="36" fillId="0" borderId="36" xfId="0" applyNumberFormat="1" applyFont="1" applyBorder="1" applyAlignment="1" applyProtection="1">
      <alignment horizontal="left" vertical="center"/>
    </xf>
    <xf numFmtId="164" fontId="12" fillId="0" borderId="0" xfId="0" applyNumberFormat="1" applyFont="1" applyBorder="1" applyAlignment="1" applyProtection="1">
      <alignment horizontal="left" vertical="center"/>
      <protection locked="0"/>
    </xf>
    <xf numFmtId="9" fontId="7" fillId="0" borderId="0" xfId="2" applyFont="1" applyBorder="1" applyAlignment="1" applyProtection="1">
      <alignment horizontal="left" vertical="center"/>
      <protection locked="0"/>
    </xf>
    <xf numFmtId="164" fontId="13" fillId="0" borderId="0" xfId="2" applyNumberFormat="1" applyFont="1" applyBorder="1" applyAlignment="1" applyProtection="1">
      <alignment horizontal="left" vertical="center"/>
    </xf>
    <xf numFmtId="164" fontId="39" fillId="0" borderId="0" xfId="0" applyNumberFormat="1" applyFont="1" applyBorder="1" applyAlignment="1" applyProtection="1">
      <alignment horizontal="left" vertical="center"/>
      <protection locked="0"/>
    </xf>
    <xf numFmtId="9" fontId="39" fillId="0" borderId="0" xfId="2" applyFont="1" applyBorder="1" applyAlignment="1" applyProtection="1">
      <alignment horizontal="left" vertical="center"/>
      <protection locked="0"/>
    </xf>
    <xf numFmtId="0" fontId="7" fillId="0" borderId="0" xfId="1" applyFont="1" applyBorder="1" applyAlignment="1" applyProtection="1">
      <alignment horizontal="left" vertical="center" wrapText="1"/>
      <protection locked="0"/>
    </xf>
    <xf numFmtId="164" fontId="4" fillId="0" borderId="0" xfId="0" applyNumberFormat="1" applyFont="1" applyBorder="1" applyAlignment="1" applyProtection="1">
      <alignment horizontal="left" vertical="center"/>
      <protection locked="0"/>
    </xf>
    <xf numFmtId="9" fontId="10" fillId="0" borderId="0" xfId="2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left" vertical="center"/>
    </xf>
    <xf numFmtId="9" fontId="4" fillId="0" borderId="0" xfId="2" applyFont="1" applyBorder="1" applyAlignment="1" applyProtection="1">
      <alignment horizontal="left" vertical="center"/>
      <protection locked="0"/>
    </xf>
    <xf numFmtId="0" fontId="37" fillId="0" borderId="44" xfId="0" applyFont="1" applyBorder="1" applyAlignment="1">
      <alignment horizontal="left" vertical="center"/>
    </xf>
    <xf numFmtId="0" fontId="37" fillId="0" borderId="3" xfId="0" applyFont="1" applyBorder="1" applyAlignment="1">
      <alignment horizontal="left" vertical="center"/>
    </xf>
    <xf numFmtId="0" fontId="54" fillId="0" borderId="3" xfId="0" applyFont="1" applyBorder="1" applyAlignment="1">
      <alignment horizontal="left" vertical="center"/>
    </xf>
    <xf numFmtId="0" fontId="37" fillId="0" borderId="10" xfId="0" applyFont="1" applyBorder="1" applyAlignment="1">
      <alignment horizontal="left" vertical="center"/>
    </xf>
    <xf numFmtId="0" fontId="2" fillId="2" borderId="18" xfId="0" applyFont="1" applyFill="1" applyBorder="1" applyAlignment="1" applyProtection="1">
      <alignment vertical="center"/>
      <protection locked="0"/>
    </xf>
    <xf numFmtId="164" fontId="35" fillId="0" borderId="0" xfId="0" applyNumberFormat="1" applyFont="1" applyFill="1" applyBorder="1" applyAlignment="1" applyProtection="1">
      <alignment horizontal="left" vertical="center"/>
    </xf>
    <xf numFmtId="0" fontId="37" fillId="0" borderId="0" xfId="0" applyFont="1" applyBorder="1" applyAlignment="1">
      <alignment horizontal="left" vertical="center"/>
    </xf>
    <xf numFmtId="164" fontId="36" fillId="0" borderId="0" xfId="0" applyNumberFormat="1" applyFont="1" applyFill="1" applyBorder="1" applyAlignment="1" applyProtection="1">
      <alignment horizontal="left" vertical="center"/>
    </xf>
    <xf numFmtId="164" fontId="7" fillId="0" borderId="0" xfId="0" applyNumberFormat="1" applyFont="1" applyFill="1" applyBorder="1" applyAlignment="1" applyProtection="1">
      <alignment horizontal="left" vertical="center"/>
    </xf>
    <xf numFmtId="172" fontId="0" fillId="0" borderId="0" xfId="0" applyNumberFormat="1" applyFont="1" applyFill="1" applyBorder="1" applyAlignment="1" applyProtection="1">
      <alignment horizontal="left" vertical="center" wrapText="1"/>
      <protection locked="0"/>
    </xf>
    <xf numFmtId="0" fontId="37" fillId="0" borderId="4" xfId="0" applyFont="1" applyBorder="1" applyAlignment="1">
      <alignment horizontal="left" vertical="center"/>
    </xf>
    <xf numFmtId="0" fontId="37" fillId="0" borderId="1" xfId="0" applyFont="1" applyBorder="1" applyAlignment="1">
      <alignment horizontal="left" vertical="center"/>
    </xf>
    <xf numFmtId="0" fontId="54" fillId="0" borderId="1" xfId="0" applyFont="1" applyBorder="1" applyAlignment="1">
      <alignment horizontal="left" vertical="center"/>
    </xf>
    <xf numFmtId="0" fontId="54" fillId="0" borderId="0" xfId="0" applyFont="1" applyAlignment="1">
      <alignment horizontal="left" vertical="center"/>
    </xf>
    <xf numFmtId="0" fontId="37" fillId="0" borderId="2" xfId="0" applyFont="1" applyBorder="1" applyAlignment="1">
      <alignment horizontal="left" vertical="center"/>
    </xf>
    <xf numFmtId="0" fontId="37" fillId="0" borderId="3" xfId="0" applyFont="1" applyBorder="1" applyAlignment="1" applyProtection="1">
      <alignment horizontal="left" vertical="center"/>
      <protection locked="0"/>
    </xf>
    <xf numFmtId="0" fontId="37" fillId="0" borderId="10" xfId="0" applyFont="1" applyBorder="1" applyAlignment="1" applyProtection="1">
      <alignment horizontal="left" vertical="center"/>
      <protection locked="0"/>
    </xf>
    <xf numFmtId="0" fontId="37" fillId="0" borderId="49" xfId="0" applyFont="1" applyBorder="1" applyAlignment="1" applyProtection="1">
      <alignment horizontal="left" vertical="center"/>
      <protection locked="0"/>
    </xf>
    <xf numFmtId="0" fontId="37" fillId="0" borderId="9" xfId="0" applyFont="1" applyBorder="1" applyAlignment="1">
      <alignment horizontal="left" vertical="center"/>
    </xf>
    <xf numFmtId="0" fontId="37" fillId="0" borderId="14" xfId="0" applyFont="1" applyBorder="1" applyAlignment="1">
      <alignment horizontal="left" vertical="center"/>
    </xf>
    <xf numFmtId="0" fontId="37" fillId="0" borderId="17" xfId="0" applyFont="1" applyBorder="1" applyAlignment="1">
      <alignment horizontal="left" vertical="center"/>
    </xf>
    <xf numFmtId="0" fontId="37" fillId="0" borderId="15" xfId="0" applyFont="1" applyBorder="1" applyAlignment="1">
      <alignment horizontal="left" vertical="center"/>
    </xf>
    <xf numFmtId="0" fontId="40" fillId="0" borderId="3" xfId="0" applyFont="1" applyBorder="1" applyAlignment="1" applyProtection="1">
      <alignment horizontal="left" vertical="center"/>
      <protection locked="0"/>
    </xf>
    <xf numFmtId="0" fontId="40" fillId="0" borderId="1" xfId="0" applyFont="1" applyBorder="1" applyAlignment="1">
      <alignment horizontal="left" vertical="center"/>
    </xf>
    <xf numFmtId="0" fontId="40" fillId="0" borderId="15" xfId="0" applyFont="1" applyBorder="1" applyAlignment="1">
      <alignment horizontal="left" vertical="center"/>
    </xf>
    <xf numFmtId="0" fontId="40" fillId="0" borderId="0" xfId="0" applyFont="1" applyAlignment="1">
      <alignment horizontal="left" vertical="center"/>
    </xf>
    <xf numFmtId="0" fontId="40" fillId="5" borderId="0" xfId="0" applyFont="1" applyFill="1" applyBorder="1" applyAlignment="1">
      <alignment horizontal="left" vertical="center"/>
    </xf>
    <xf numFmtId="49" fontId="30" fillId="0" borderId="0" xfId="0" applyNumberFormat="1" applyFont="1" applyBorder="1" applyAlignment="1">
      <alignment horizontal="left" vertical="center" wrapText="1"/>
    </xf>
    <xf numFmtId="49" fontId="40" fillId="0" borderId="0" xfId="1" applyNumberFormat="1" applyFont="1" applyBorder="1" applyAlignment="1" applyProtection="1">
      <alignment horizontal="left" vertical="center" wrapText="1"/>
      <protection locked="0"/>
    </xf>
    <xf numFmtId="49" fontId="20" fillId="0" borderId="0" xfId="0" applyNumberFormat="1" applyFont="1" applyBorder="1" applyAlignment="1">
      <alignment horizontal="left" vertical="center" wrapText="1"/>
    </xf>
    <xf numFmtId="49" fontId="14" fillId="0" borderId="0" xfId="0" applyNumberFormat="1" applyFont="1" applyBorder="1" applyAlignment="1">
      <alignment horizontal="left" vertical="center"/>
    </xf>
    <xf numFmtId="164" fontId="55" fillId="0" borderId="0" xfId="0" applyNumberFormat="1" applyFont="1" applyBorder="1" applyAlignment="1">
      <alignment horizontal="left" vertical="center" wrapText="1"/>
    </xf>
    <xf numFmtId="0" fontId="56" fillId="0" borderId="0" xfId="0" applyFont="1"/>
    <xf numFmtId="164" fontId="57" fillId="0" borderId="4" xfId="0" applyNumberFormat="1" applyFont="1" applyBorder="1" applyAlignment="1">
      <alignment horizontal="left"/>
    </xf>
    <xf numFmtId="164" fontId="57" fillId="0" borderId="1" xfId="0" applyNumberFormat="1" applyFont="1" applyBorder="1" applyAlignment="1">
      <alignment horizontal="left"/>
    </xf>
    <xf numFmtId="164" fontId="57" fillId="0" borderId="2" xfId="0" applyNumberFormat="1" applyFont="1" applyBorder="1" applyAlignment="1">
      <alignment horizontal="left"/>
    </xf>
    <xf numFmtId="164" fontId="57" fillId="0" borderId="0" xfId="0" applyNumberFormat="1" applyFont="1" applyAlignment="1">
      <alignment horizontal="left"/>
    </xf>
    <xf numFmtId="14" fontId="58" fillId="0" borderId="0" xfId="0" applyNumberFormat="1" applyFont="1" applyProtection="1">
      <protection locked="0"/>
    </xf>
    <xf numFmtId="0" fontId="0" fillId="0" borderId="3" xfId="0" applyBorder="1" applyProtection="1">
      <protection locked="0"/>
    </xf>
    <xf numFmtId="9" fontId="0" fillId="0" borderId="16" xfId="0" applyNumberFormat="1" applyFont="1" applyBorder="1" applyProtection="1">
      <protection locked="0"/>
    </xf>
    <xf numFmtId="9" fontId="0" fillId="0" borderId="36" xfId="0" applyNumberFormat="1" applyFont="1" applyBorder="1" applyProtection="1">
      <protection locked="0"/>
    </xf>
    <xf numFmtId="0" fontId="41" fillId="0" borderId="15" xfId="0" applyFont="1" applyBorder="1" applyAlignment="1" applyProtection="1">
      <alignment wrapText="1"/>
      <protection locked="0"/>
    </xf>
    <xf numFmtId="9" fontId="0" fillId="0" borderId="48" xfId="0" applyNumberFormat="1" applyFont="1" applyBorder="1" applyProtection="1">
      <protection locked="0"/>
    </xf>
    <xf numFmtId="49" fontId="7" fillId="0" borderId="0" xfId="0" applyNumberFormat="1" applyFont="1" applyBorder="1" applyAlignment="1">
      <alignment horizontal="left" vertical="center" wrapText="1"/>
    </xf>
    <xf numFmtId="49" fontId="7" fillId="5" borderId="0" xfId="0" applyNumberFormat="1" applyFont="1" applyFill="1" applyBorder="1" applyAlignment="1">
      <alignment horizontal="left" vertical="center" wrapText="1"/>
    </xf>
    <xf numFmtId="0" fontId="37" fillId="0" borderId="28" xfId="0" applyFont="1" applyBorder="1" applyAlignment="1">
      <alignment horizontal="left" vertical="center"/>
    </xf>
    <xf numFmtId="0" fontId="37" fillId="0" borderId="40" xfId="0" applyFont="1" applyBorder="1" applyAlignment="1">
      <alignment horizontal="left" vertical="center"/>
    </xf>
    <xf numFmtId="168" fontId="60" fillId="5" borderId="0" xfId="0" applyNumberFormat="1" applyFont="1" applyFill="1" applyBorder="1" applyAlignment="1" applyProtection="1">
      <alignment horizontal="left" vertical="top"/>
    </xf>
    <xf numFmtId="0" fontId="59" fillId="0" borderId="0" xfId="0" applyFont="1" applyFill="1" applyBorder="1" applyAlignment="1" applyProtection="1">
      <alignment vertical="center" wrapText="1"/>
    </xf>
    <xf numFmtId="0" fontId="23" fillId="5" borderId="4" xfId="0" applyFont="1" applyFill="1" applyBorder="1"/>
    <xf numFmtId="168" fontId="62" fillId="5" borderId="53" xfId="0" applyNumberFormat="1" applyFont="1" applyFill="1" applyBorder="1" applyAlignment="1" applyProtection="1">
      <alignment horizontal="left" vertical="center"/>
    </xf>
    <xf numFmtId="168" fontId="60" fillId="5" borderId="56" xfId="0" applyNumberFormat="1" applyFont="1" applyFill="1" applyBorder="1" applyAlignment="1" applyProtection="1">
      <alignment horizontal="left" vertical="top"/>
    </xf>
    <xf numFmtId="168" fontId="60" fillId="5" borderId="57" xfId="0" applyNumberFormat="1" applyFont="1" applyFill="1" applyBorder="1" applyAlignment="1" applyProtection="1">
      <alignment horizontal="left" vertical="top"/>
    </xf>
    <xf numFmtId="0" fontId="23" fillId="5" borderId="58" xfId="0" applyFont="1" applyFill="1" applyBorder="1"/>
    <xf numFmtId="0" fontId="23" fillId="5" borderId="59" xfId="0" applyFont="1" applyFill="1" applyBorder="1"/>
    <xf numFmtId="49" fontId="65" fillId="0" borderId="0" xfId="1" applyNumberFormat="1" applyFont="1" applyBorder="1" applyAlignment="1" applyProtection="1">
      <alignment horizontal="left" vertical="center" wrapText="1"/>
      <protection locked="0"/>
    </xf>
    <xf numFmtId="49" fontId="66" fillId="0" borderId="0" xfId="1" applyNumberFormat="1" applyFont="1" applyBorder="1" applyAlignment="1" applyProtection="1">
      <alignment horizontal="left" vertical="center" wrapText="1"/>
      <protection locked="0"/>
    </xf>
    <xf numFmtId="169" fontId="62" fillId="5" borderId="0" xfId="0" applyNumberFormat="1" applyFont="1" applyFill="1" applyBorder="1" applyAlignment="1" applyProtection="1">
      <alignment horizontal="left" vertical="center" indent="1"/>
    </xf>
    <xf numFmtId="0" fontId="51" fillId="5" borderId="55" xfId="0" applyFont="1" applyFill="1" applyBorder="1" applyAlignment="1" applyProtection="1">
      <alignment horizontal="left" indent="1"/>
    </xf>
    <xf numFmtId="0" fontId="66" fillId="0" borderId="0" xfId="1" applyNumberFormat="1" applyFont="1" applyBorder="1" applyAlignment="1" applyProtection="1">
      <alignment horizontal="left" vertical="center" wrapText="1"/>
      <protection locked="0"/>
    </xf>
    <xf numFmtId="49" fontId="65" fillId="0" borderId="0" xfId="1" applyNumberFormat="1" applyFont="1" applyBorder="1" applyAlignment="1" applyProtection="1">
      <alignment horizontal="left" vertical="center"/>
      <protection locked="0"/>
    </xf>
    <xf numFmtId="49" fontId="65" fillId="12" borderId="0" xfId="2" applyNumberFormat="1" applyFont="1" applyFill="1" applyBorder="1" applyAlignment="1" applyProtection="1">
      <alignment horizontal="left" vertical="center"/>
      <protection locked="0"/>
    </xf>
    <xf numFmtId="49" fontId="65" fillId="0" borderId="0" xfId="1" applyNumberFormat="1" applyFont="1" applyFill="1" applyBorder="1" applyAlignment="1" applyProtection="1">
      <alignment horizontal="left" vertical="center"/>
      <protection locked="0"/>
    </xf>
    <xf numFmtId="49" fontId="65" fillId="0" borderId="0" xfId="2" applyNumberFormat="1" applyFont="1" applyBorder="1" applyAlignment="1" applyProtection="1">
      <alignment horizontal="left" vertical="center"/>
      <protection locked="0"/>
    </xf>
    <xf numFmtId="49" fontId="66" fillId="0" borderId="0" xfId="1" applyNumberFormat="1" applyFont="1" applyBorder="1" applyAlignment="1" applyProtection="1">
      <alignment horizontal="left" vertical="center"/>
      <protection locked="0"/>
    </xf>
    <xf numFmtId="171" fontId="65" fillId="0" borderId="0" xfId="2" applyNumberFormat="1" applyFont="1" applyBorder="1" applyAlignment="1" applyProtection="1">
      <alignment horizontal="left" vertical="center"/>
      <protection locked="0"/>
    </xf>
    <xf numFmtId="0" fontId="65" fillId="12" borderId="0" xfId="2" applyNumberFormat="1" applyFont="1" applyFill="1" applyBorder="1" applyAlignment="1" applyProtection="1">
      <alignment horizontal="left" vertical="center"/>
      <protection locked="0"/>
    </xf>
    <xf numFmtId="0" fontId="65" fillId="0" borderId="0" xfId="2" applyNumberFormat="1" applyFont="1" applyBorder="1" applyAlignment="1" applyProtection="1">
      <alignment horizontal="left" vertical="center"/>
      <protection locked="0"/>
    </xf>
    <xf numFmtId="0" fontId="31" fillId="12" borderId="0" xfId="2" applyNumberFormat="1" applyFont="1" applyFill="1" applyBorder="1" applyAlignment="1" applyProtection="1">
      <alignment horizontal="left" vertical="center"/>
      <protection locked="0"/>
    </xf>
    <xf numFmtId="0" fontId="7" fillId="0" borderId="0" xfId="2" applyNumberFormat="1" applyFont="1" applyBorder="1" applyAlignment="1" applyProtection="1">
      <alignment horizontal="left" vertical="center"/>
      <protection locked="0"/>
    </xf>
    <xf numFmtId="0" fontId="7" fillId="0" borderId="0" xfId="0" applyNumberFormat="1" applyFont="1" applyBorder="1" applyAlignment="1" applyProtection="1">
      <alignment horizontal="left" vertical="center"/>
      <protection locked="0"/>
    </xf>
    <xf numFmtId="49" fontId="7" fillId="5" borderId="0" xfId="0" applyNumberFormat="1" applyFont="1" applyFill="1" applyBorder="1" applyAlignment="1">
      <alignment horizontal="left" vertical="center"/>
    </xf>
    <xf numFmtId="0" fontId="7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5" borderId="0" xfId="0" applyFont="1" applyFill="1" applyBorder="1" applyAlignment="1">
      <alignment vertical="center"/>
    </xf>
    <xf numFmtId="164" fontId="10" fillId="5" borderId="0" xfId="0" applyNumberFormat="1" applyFont="1" applyFill="1" applyAlignment="1">
      <alignment horizontal="left"/>
    </xf>
    <xf numFmtId="0" fontId="0" fillId="5" borderId="0" xfId="0" applyFont="1" applyFill="1" applyProtection="1">
      <protection locked="0"/>
    </xf>
    <xf numFmtId="49" fontId="66" fillId="12" borderId="0" xfId="1" applyNumberFormat="1" applyFont="1" applyFill="1" applyBorder="1" applyAlignment="1" applyProtection="1">
      <alignment horizontal="left" vertical="center"/>
      <protection locked="0"/>
    </xf>
    <xf numFmtId="0" fontId="0" fillId="0" borderId="36" xfId="0" applyBorder="1"/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64" fontId="13" fillId="0" borderId="60" xfId="0" applyNumberFormat="1" applyFont="1" applyBorder="1" applyAlignment="1">
      <alignment horizontal="right" vertical="center" indent="1"/>
    </xf>
    <xf numFmtId="164" fontId="13" fillId="0" borderId="60" xfId="2" applyNumberFormat="1" applyFont="1" applyBorder="1" applyAlignment="1">
      <alignment horizontal="right" vertical="center" indent="1"/>
    </xf>
    <xf numFmtId="164" fontId="13" fillId="0" borderId="62" xfId="0" applyNumberFormat="1" applyFont="1" applyBorder="1" applyAlignment="1">
      <alignment horizontal="right" vertical="center" indent="1"/>
    </xf>
    <xf numFmtId="164" fontId="10" fillId="0" borderId="63" xfId="0" applyNumberFormat="1" applyFont="1" applyBorder="1" applyAlignment="1">
      <alignment horizontal="right" vertical="center" indent="1"/>
    </xf>
    <xf numFmtId="164" fontId="10" fillId="0" borderId="64" xfId="0" applyNumberFormat="1" applyFont="1" applyBorder="1" applyAlignment="1">
      <alignment horizontal="right" vertical="center" indent="1"/>
    </xf>
    <xf numFmtId="0" fontId="0" fillId="0" borderId="65" xfId="0" applyBorder="1"/>
    <xf numFmtId="0" fontId="1" fillId="0" borderId="1" xfId="1" applyBorder="1" applyAlignment="1">
      <alignment horizontal="left" vertical="center"/>
    </xf>
    <xf numFmtId="0" fontId="39" fillId="2" borderId="6" xfId="0" applyFont="1" applyFill="1" applyBorder="1" applyAlignment="1" applyProtection="1">
      <alignment vertical="center"/>
      <protection locked="0"/>
    </xf>
    <xf numFmtId="0" fontId="39" fillId="0" borderId="0" xfId="1" applyFont="1" applyBorder="1" applyAlignment="1" applyProtection="1">
      <alignment horizontal="left" vertical="center" wrapText="1"/>
      <protection locked="0"/>
    </xf>
    <xf numFmtId="0" fontId="39" fillId="0" borderId="0" xfId="1" applyNumberFormat="1" applyFont="1" applyFill="1" applyBorder="1" applyAlignment="1" applyProtection="1">
      <alignment vertical="center"/>
      <protection locked="0"/>
    </xf>
    <xf numFmtId="0" fontId="39" fillId="0" borderId="0" xfId="1" applyNumberFormat="1" applyFont="1" applyBorder="1" applyAlignment="1" applyProtection="1">
      <alignment vertical="center"/>
      <protection locked="0"/>
    </xf>
    <xf numFmtId="0" fontId="67" fillId="0" borderId="0" xfId="1" applyNumberFormat="1" applyFont="1" applyFill="1" applyBorder="1" applyAlignment="1" applyProtection="1">
      <alignment vertical="center"/>
      <protection locked="0"/>
    </xf>
    <xf numFmtId="0" fontId="39" fillId="0" borderId="4" xfId="1" applyNumberFormat="1" applyFont="1" applyBorder="1" applyAlignment="1" applyProtection="1">
      <alignment vertical="center"/>
      <protection locked="0"/>
    </xf>
    <xf numFmtId="0" fontId="39" fillId="0" borderId="1" xfId="1" applyNumberFormat="1" applyFont="1" applyBorder="1" applyAlignment="1" applyProtection="1">
      <alignment vertical="center"/>
      <protection locked="0"/>
    </xf>
    <xf numFmtId="0" fontId="39" fillId="0" borderId="2" xfId="1" applyNumberFormat="1" applyFont="1" applyBorder="1" applyAlignment="1" applyProtection="1">
      <alignment vertical="center"/>
      <protection locked="0"/>
    </xf>
    <xf numFmtId="164" fontId="39" fillId="0" borderId="1" xfId="0" applyNumberFormat="1" applyFont="1" applyBorder="1" applyProtection="1">
      <protection locked="0"/>
    </xf>
    <xf numFmtId="0" fontId="68" fillId="0" borderId="0" xfId="1" applyFont="1" applyBorder="1" applyAlignment="1" applyProtection="1">
      <alignment horizontal="left" vertical="center" wrapText="1"/>
      <protection locked="0"/>
    </xf>
    <xf numFmtId="0" fontId="68" fillId="0" borderId="0" xfId="1" applyFont="1" applyBorder="1" applyAlignment="1" applyProtection="1">
      <alignment vertical="center" wrapText="1"/>
      <protection locked="0"/>
    </xf>
    <xf numFmtId="0" fontId="68" fillId="0" borderId="0" xfId="1" applyNumberFormat="1" applyFont="1" applyFill="1" applyBorder="1" applyAlignment="1" applyProtection="1">
      <alignment vertical="center"/>
      <protection locked="0"/>
    </xf>
    <xf numFmtId="0" fontId="68" fillId="0" borderId="0" xfId="1" applyNumberFormat="1" applyFont="1" applyBorder="1" applyAlignment="1" applyProtection="1">
      <alignment vertical="center"/>
      <protection locked="0"/>
    </xf>
    <xf numFmtId="0" fontId="39" fillId="2" borderId="0" xfId="0" applyFont="1" applyFill="1" applyBorder="1" applyAlignment="1" applyProtection="1">
      <alignment vertical="center"/>
      <protection locked="0"/>
    </xf>
    <xf numFmtId="0" fontId="39" fillId="0" borderId="0" xfId="0" applyNumberFormat="1" applyFont="1" applyBorder="1" applyAlignment="1" applyProtection="1">
      <alignment horizontal="left" vertical="center"/>
    </xf>
    <xf numFmtId="0" fontId="39" fillId="0" borderId="0" xfId="0" applyNumberFormat="1" applyFont="1" applyBorder="1" applyProtection="1"/>
    <xf numFmtId="0" fontId="39" fillId="2" borderId="13" xfId="0" applyFont="1" applyFill="1" applyBorder="1" applyAlignment="1" applyProtection="1">
      <alignment vertical="center"/>
      <protection locked="0"/>
    </xf>
    <xf numFmtId="164" fontId="39" fillId="0" borderId="0" xfId="0" applyNumberFormat="1" applyFont="1" applyProtection="1">
      <protection locked="0"/>
    </xf>
    <xf numFmtId="166" fontId="1" fillId="0" borderId="0" xfId="1" applyNumberFormat="1" applyBorder="1" applyAlignment="1" applyProtection="1">
      <alignment horizontal="left" vertical="center"/>
      <protection locked="0"/>
    </xf>
    <xf numFmtId="166" fontId="1" fillId="0" borderId="41" xfId="1" applyNumberFormat="1" applyBorder="1" applyAlignment="1" applyProtection="1">
      <alignment horizontal="left" vertical="center"/>
      <protection locked="0"/>
    </xf>
    <xf numFmtId="0" fontId="68" fillId="0" borderId="0" xfId="1" applyFont="1" applyFill="1" applyAlignment="1">
      <alignment vertical="center"/>
    </xf>
    <xf numFmtId="166" fontId="1" fillId="0" borderId="41" xfId="1" applyNumberFormat="1" applyBorder="1" applyAlignment="1" applyProtection="1">
      <alignment horizontal="left" vertical="center" wrapText="1"/>
      <protection locked="0"/>
    </xf>
    <xf numFmtId="166" fontId="1" fillId="0" borderId="41" xfId="1" applyNumberFormat="1" applyFill="1" applyBorder="1" applyAlignment="1" applyProtection="1">
      <alignment horizontal="left" vertical="center"/>
      <protection locked="0"/>
    </xf>
    <xf numFmtId="166" fontId="1" fillId="0" borderId="42" xfId="1" applyNumberFormat="1" applyFill="1" applyBorder="1" applyAlignment="1" applyProtection="1">
      <alignment horizontal="left" vertical="center"/>
      <protection locked="0"/>
    </xf>
    <xf numFmtId="49" fontId="66" fillId="13" borderId="0" xfId="1" applyNumberFormat="1" applyFont="1" applyFill="1" applyBorder="1" applyAlignment="1">
      <alignment horizontal="left" vertical="center"/>
    </xf>
    <xf numFmtId="0" fontId="66" fillId="12" borderId="0" xfId="1" applyNumberFormat="1" applyFont="1" applyFill="1" applyBorder="1" applyAlignment="1">
      <alignment horizontal="left" vertical="center"/>
    </xf>
    <xf numFmtId="0" fontId="15" fillId="0" borderId="0" xfId="0" applyFont="1" applyBorder="1" applyAlignment="1" applyProtection="1">
      <alignment horizontal="left" vertical="center" wrapText="1"/>
      <protection locked="0"/>
    </xf>
    <xf numFmtId="49" fontId="20" fillId="0" borderId="0" xfId="0" applyNumberFormat="1" applyFont="1" applyFill="1" applyBorder="1" applyAlignment="1" applyProtection="1">
      <alignment horizontal="left" vertical="center" wrapText="1"/>
      <protection locked="0"/>
    </xf>
    <xf numFmtId="0" fontId="7" fillId="0" borderId="0" xfId="0" applyFont="1" applyProtection="1">
      <protection locked="0"/>
    </xf>
    <xf numFmtId="0" fontId="7" fillId="0" borderId="0" xfId="0" applyFont="1"/>
    <xf numFmtId="0" fontId="7" fillId="5" borderId="0" xfId="0" applyFont="1" applyFill="1" applyBorder="1"/>
    <xf numFmtId="0" fontId="7" fillId="5" borderId="0" xfId="0" applyFont="1" applyFill="1" applyBorder="1" applyAlignment="1">
      <alignment horizontal="left"/>
    </xf>
    <xf numFmtId="0" fontId="7" fillId="5" borderId="0" xfId="0" applyNumberFormat="1" applyFont="1" applyFill="1" applyBorder="1"/>
    <xf numFmtId="0" fontId="7" fillId="5" borderId="0" xfId="0" applyFont="1" applyFill="1" applyBorder="1" applyAlignment="1">
      <alignment horizontal="left" indent="1"/>
    </xf>
    <xf numFmtId="165" fontId="7" fillId="5" borderId="0" xfId="0" applyNumberFormat="1" applyFont="1" applyFill="1" applyBorder="1" applyAlignment="1">
      <alignment horizontal="left" indent="2"/>
    </xf>
    <xf numFmtId="0" fontId="7" fillId="5" borderId="0" xfId="0" applyFont="1" applyFill="1"/>
    <xf numFmtId="0" fontId="7" fillId="5" borderId="0" xfId="0" applyFont="1" applyFill="1" applyAlignment="1">
      <alignment horizontal="left"/>
    </xf>
    <xf numFmtId="0" fontId="7" fillId="5" borderId="0" xfId="0" applyNumberFormat="1" applyFont="1" applyFill="1"/>
    <xf numFmtId="49" fontId="31" fillId="0" borderId="0" xfId="2" applyNumberFormat="1" applyFont="1" applyAlignment="1" applyProtection="1">
      <alignment horizontal="left" vertical="center" wrapText="1"/>
      <protection locked="0"/>
    </xf>
    <xf numFmtId="49" fontId="14" fillId="0" borderId="0" xfId="0" applyNumberFormat="1" applyFont="1" applyAlignment="1">
      <alignment horizontal="left" vertical="center" wrapText="1"/>
    </xf>
    <xf numFmtId="49" fontId="30" fillId="0" borderId="0" xfId="2" applyNumberFormat="1" applyFont="1" applyFill="1" applyBorder="1" applyAlignment="1" applyProtection="1">
      <alignment horizontal="left" vertical="center" wrapText="1"/>
      <protection locked="0"/>
    </xf>
    <xf numFmtId="49" fontId="31" fillId="0" borderId="0" xfId="2" applyNumberFormat="1" applyFont="1" applyAlignment="1" applyProtection="1">
      <alignment horizontal="left" vertical="center"/>
      <protection locked="0"/>
    </xf>
    <xf numFmtId="0" fontId="69" fillId="0" borderId="0" xfId="0" applyFont="1" applyBorder="1" applyAlignment="1" applyProtection="1">
      <alignment vertical="center"/>
      <protection locked="0"/>
    </xf>
    <xf numFmtId="0" fontId="69" fillId="0" borderId="0" xfId="0" applyFont="1" applyFill="1" applyBorder="1" applyAlignment="1" applyProtection="1">
      <alignment vertical="center"/>
      <protection locked="0"/>
    </xf>
    <xf numFmtId="0" fontId="70" fillId="2" borderId="0" xfId="0" applyFont="1" applyFill="1" applyBorder="1" applyAlignment="1">
      <alignment horizontal="center" vertical="center"/>
    </xf>
    <xf numFmtId="1" fontId="71" fillId="2" borderId="0" xfId="0" applyNumberFormat="1" applyFont="1" applyFill="1" applyBorder="1" applyAlignment="1">
      <alignment horizontal="left" vertical="center"/>
    </xf>
    <xf numFmtId="166" fontId="1" fillId="0" borderId="41" xfId="1" applyNumberFormat="1" applyFont="1" applyBorder="1" applyAlignment="1" applyProtection="1">
      <alignment horizontal="left" vertical="center"/>
      <protection locked="0"/>
    </xf>
    <xf numFmtId="9" fontId="0" fillId="0" borderId="0" xfId="2" applyFont="1" applyBorder="1" applyAlignment="1" applyProtection="1">
      <alignment horizontal="left" vertical="center"/>
      <protection locked="0"/>
    </xf>
    <xf numFmtId="164" fontId="47" fillId="0" borderId="0" xfId="2" applyNumberFormat="1" applyFont="1" applyBorder="1" applyAlignment="1" applyProtection="1">
      <alignment horizontal="left" vertical="center"/>
    </xf>
    <xf numFmtId="0" fontId="14" fillId="0" borderId="0" xfId="0" applyFont="1" applyAlignment="1">
      <alignment horizontal="left" vertical="center"/>
    </xf>
    <xf numFmtId="0" fontId="0" fillId="0" borderId="0" xfId="0" applyFont="1" applyFill="1" applyBorder="1" applyAlignment="1" applyProtection="1">
      <alignment vertical="center"/>
      <protection locked="0"/>
    </xf>
    <xf numFmtId="0" fontId="68" fillId="0" borderId="0" xfId="1" applyFont="1"/>
    <xf numFmtId="9" fontId="58" fillId="0" borderId="0" xfId="1" applyNumberFormat="1" applyFont="1" applyAlignment="1" applyProtection="1">
      <alignment horizontal="left" vertical="center"/>
      <protection locked="0"/>
    </xf>
    <xf numFmtId="9" fontId="9" fillId="0" borderId="0" xfId="0" applyNumberFormat="1" applyFont="1" applyFill="1" applyBorder="1" applyAlignment="1" applyProtection="1">
      <alignment horizontal="left" vertical="center"/>
      <protection locked="0"/>
    </xf>
    <xf numFmtId="164" fontId="12" fillId="0" borderId="0" xfId="0" applyNumberFormat="1" applyFont="1" applyFill="1" applyBorder="1" applyAlignment="1" applyProtection="1">
      <alignment horizontal="left" vertical="center"/>
      <protection locked="0"/>
    </xf>
    <xf numFmtId="164" fontId="7" fillId="0" borderId="0" xfId="0" applyNumberFormat="1" applyFont="1" applyFill="1" applyBorder="1" applyAlignment="1" applyProtection="1">
      <alignment horizontal="left" vertical="center"/>
      <protection locked="0"/>
    </xf>
    <xf numFmtId="9" fontId="7" fillId="0" borderId="0" xfId="2" applyFont="1" applyFill="1" applyBorder="1" applyAlignment="1" applyProtection="1">
      <alignment horizontal="left" vertical="center"/>
      <protection locked="0"/>
    </xf>
    <xf numFmtId="164" fontId="13" fillId="0" borderId="0" xfId="2" applyNumberFormat="1" applyFont="1" applyFill="1" applyBorder="1" applyAlignment="1" applyProtection="1">
      <alignment horizontal="left" vertical="center"/>
    </xf>
    <xf numFmtId="164" fontId="34" fillId="0" borderId="0" xfId="0" applyNumberFormat="1" applyFont="1" applyFill="1" applyBorder="1" applyAlignment="1" applyProtection="1">
      <alignment horizontal="left" vertical="center"/>
    </xf>
    <xf numFmtId="0" fontId="37" fillId="0" borderId="28" xfId="0" applyFont="1" applyFill="1" applyBorder="1" applyAlignment="1">
      <alignment horizontal="left" vertical="center"/>
    </xf>
    <xf numFmtId="0" fontId="37" fillId="0" borderId="40" xfId="0" applyFont="1" applyFill="1" applyBorder="1" applyAlignment="1">
      <alignment horizontal="left" vertical="center"/>
    </xf>
    <xf numFmtId="0" fontId="37" fillId="0" borderId="0" xfId="0" applyFont="1" applyFill="1" applyBorder="1" applyAlignment="1">
      <alignment horizontal="left" vertical="center"/>
    </xf>
    <xf numFmtId="0" fontId="68" fillId="0" borderId="0" xfId="1" applyFont="1" applyFill="1" applyBorder="1" applyAlignment="1" applyProtection="1">
      <alignment horizontal="left" vertical="center" wrapText="1"/>
      <protection locked="0"/>
    </xf>
    <xf numFmtId="9" fontId="9" fillId="0" borderId="0" xfId="2" applyFont="1" applyFill="1" applyBorder="1" applyAlignment="1" applyProtection="1">
      <alignment horizontal="left" vertical="center"/>
      <protection locked="0"/>
    </xf>
    <xf numFmtId="164" fontId="13" fillId="0" borderId="0" xfId="2" applyNumberFormat="1" applyFont="1" applyFill="1" applyBorder="1" applyAlignment="1" applyProtection="1">
      <alignment horizontal="left" vertical="center"/>
      <protection locked="0"/>
    </xf>
    <xf numFmtId="164" fontId="34" fillId="0" borderId="0" xfId="0" applyNumberFormat="1" applyFont="1" applyFill="1" applyBorder="1" applyAlignment="1" applyProtection="1">
      <alignment horizontal="left" vertical="center"/>
      <protection locked="0"/>
    </xf>
    <xf numFmtId="164" fontId="35" fillId="0" borderId="0" xfId="0" applyNumberFormat="1" applyFont="1" applyFill="1" applyBorder="1" applyAlignment="1" applyProtection="1">
      <alignment horizontal="left" vertical="center"/>
      <protection locked="0"/>
    </xf>
    <xf numFmtId="0" fontId="37" fillId="0" borderId="28" xfId="0" applyFont="1" applyFill="1" applyBorder="1" applyAlignment="1" applyProtection="1">
      <alignment horizontal="left" vertical="center"/>
      <protection locked="0"/>
    </xf>
    <xf numFmtId="0" fontId="37" fillId="0" borderId="40" xfId="0" applyFont="1" applyFill="1" applyBorder="1" applyAlignment="1" applyProtection="1">
      <alignment horizontal="left" vertical="center"/>
      <protection locked="0"/>
    </xf>
    <xf numFmtId="0" fontId="37" fillId="0" borderId="0" xfId="0" applyFont="1" applyFill="1" applyBorder="1" applyAlignment="1" applyProtection="1">
      <alignment horizontal="left" vertical="center"/>
      <protection locked="0"/>
    </xf>
    <xf numFmtId="0" fontId="39" fillId="14" borderId="7" xfId="1" applyFont="1" applyFill="1" applyBorder="1" applyAlignment="1" applyProtection="1">
      <alignment horizontal="left" vertical="center"/>
      <protection locked="0"/>
    </xf>
    <xf numFmtId="164" fontId="47" fillId="0" borderId="0" xfId="2" applyNumberFormat="1" applyFont="1" applyFill="1" applyBorder="1" applyAlignment="1" applyProtection="1">
      <alignment horizontal="left" vertical="center"/>
    </xf>
    <xf numFmtId="173" fontId="0" fillId="0" borderId="0" xfId="0" applyNumberFormat="1" applyFont="1" applyFill="1" applyBorder="1" applyAlignment="1" applyProtection="1">
      <alignment horizontal="left" vertical="center"/>
      <protection locked="0"/>
    </xf>
    <xf numFmtId="9" fontId="1" fillId="0" borderId="0" xfId="1" applyNumberFormat="1" applyAlignment="1" applyProtection="1">
      <alignment horizontal="left" vertical="center"/>
      <protection locked="0"/>
    </xf>
    <xf numFmtId="0" fontId="1" fillId="5" borderId="0" xfId="1" applyFill="1" applyBorder="1"/>
    <xf numFmtId="0" fontId="74" fillId="2" borderId="0" xfId="0" applyFont="1" applyFill="1" applyBorder="1" applyAlignment="1">
      <alignment vertical="center"/>
    </xf>
    <xf numFmtId="0" fontId="23" fillId="5" borderId="0" xfId="0" applyFont="1" applyFill="1" applyBorder="1" applyProtection="1">
      <protection locked="0"/>
    </xf>
    <xf numFmtId="0" fontId="75" fillId="3" borderId="66" xfId="0" applyFont="1" applyFill="1" applyBorder="1" applyAlignment="1" applyProtection="1">
      <alignment horizontal="center" vertical="center" wrapText="1"/>
      <protection locked="0"/>
    </xf>
    <xf numFmtId="164" fontId="76" fillId="3" borderId="0" xfId="0" applyNumberFormat="1" applyFont="1" applyFill="1" applyBorder="1" applyAlignment="1">
      <alignment horizontal="left" vertical="center"/>
    </xf>
    <xf numFmtId="14" fontId="0" fillId="5" borderId="0" xfId="0" applyNumberFormat="1" applyFill="1" applyBorder="1"/>
    <xf numFmtId="0" fontId="77" fillId="0" borderId="0" xfId="0" applyFont="1"/>
    <xf numFmtId="0" fontId="0" fillId="0" borderId="68" xfId="0" applyBorder="1" applyAlignment="1">
      <alignment horizontal="center" vertical="center"/>
    </xf>
    <xf numFmtId="0" fontId="0" fillId="5" borderId="69" xfId="0" applyFill="1" applyBorder="1"/>
    <xf numFmtId="0" fontId="0" fillId="0" borderId="12" xfId="0" applyBorder="1"/>
    <xf numFmtId="0" fontId="0" fillId="5" borderId="70" xfId="0" applyFill="1" applyBorder="1"/>
    <xf numFmtId="0" fontId="0" fillId="5" borderId="32" xfId="0" applyFill="1" applyBorder="1"/>
    <xf numFmtId="0" fontId="16" fillId="5" borderId="32" xfId="0" applyFont="1" applyFill="1" applyBorder="1" applyAlignment="1">
      <alignment vertical="center"/>
    </xf>
    <xf numFmtId="0" fontId="16" fillId="5" borderId="33" xfId="0" applyFont="1" applyFill="1" applyBorder="1" applyAlignment="1">
      <alignment vertical="center"/>
    </xf>
    <xf numFmtId="0" fontId="0" fillId="2" borderId="0" xfId="0" applyFill="1" applyBorder="1"/>
    <xf numFmtId="0" fontId="78" fillId="2" borderId="0" xfId="0" applyFont="1" applyFill="1" applyBorder="1" applyProtection="1">
      <protection locked="0"/>
    </xf>
    <xf numFmtId="0" fontId="6" fillId="2" borderId="7" xfId="1" applyFont="1" applyFill="1" applyBorder="1" applyAlignment="1" applyProtection="1">
      <alignment vertical="center"/>
      <protection locked="0"/>
    </xf>
    <xf numFmtId="0" fontId="6" fillId="2" borderId="8" xfId="1" applyFont="1" applyFill="1" applyBorder="1" applyAlignment="1" applyProtection="1">
      <alignment vertical="center"/>
      <protection locked="0"/>
    </xf>
    <xf numFmtId="1" fontId="24" fillId="5" borderId="47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Border="1"/>
    <xf numFmtId="0" fontId="13" fillId="5" borderId="0" xfId="0" applyFont="1" applyFill="1" applyBorder="1" applyAlignment="1" applyProtection="1">
      <protection locked="0"/>
    </xf>
    <xf numFmtId="0" fontId="6" fillId="5" borderId="0" xfId="1" applyFont="1" applyFill="1" applyBorder="1" applyAlignment="1" applyProtection="1">
      <alignment vertical="center"/>
      <protection locked="0"/>
    </xf>
    <xf numFmtId="22" fontId="79" fillId="2" borderId="0" xfId="1" applyNumberFormat="1" applyFont="1" applyFill="1" applyBorder="1" applyAlignment="1" applyProtection="1">
      <alignment vertical="center"/>
      <protection locked="0"/>
    </xf>
    <xf numFmtId="0" fontId="11" fillId="2" borderId="0" xfId="1" applyFont="1" applyFill="1" applyBorder="1" applyAlignment="1" applyProtection="1">
      <alignment horizontal="center" vertical="center"/>
      <protection locked="0"/>
    </xf>
    <xf numFmtId="0" fontId="45" fillId="5" borderId="0" xfId="0" applyFont="1" applyFill="1"/>
    <xf numFmtId="1" fontId="0" fillId="5" borderId="37" xfId="0" applyNumberFormat="1" applyFont="1" applyFill="1" applyBorder="1" applyAlignment="1" applyProtection="1">
      <alignment horizontal="center" vertical="center"/>
      <protection locked="0"/>
    </xf>
    <xf numFmtId="0" fontId="1" fillId="0" borderId="0" xfId="1" applyFill="1" applyBorder="1" applyAlignment="1" applyProtection="1">
      <alignment horizontal="left" vertical="center" wrapText="1"/>
      <protection locked="0"/>
    </xf>
    <xf numFmtId="0" fontId="13" fillId="5" borderId="0" xfId="0" applyFont="1" applyFill="1" applyBorder="1" applyAlignment="1" applyProtection="1">
      <alignment horizontal="center"/>
      <protection locked="0"/>
    </xf>
    <xf numFmtId="0" fontId="13" fillId="5" borderId="71" xfId="0" applyFont="1" applyFill="1" applyBorder="1" applyAlignment="1" applyProtection="1">
      <alignment horizontal="center" vertical="center"/>
    </xf>
    <xf numFmtId="0" fontId="13" fillId="5" borderId="72" xfId="0" applyFont="1" applyFill="1" applyBorder="1" applyAlignment="1" applyProtection="1">
      <alignment horizontal="center" vertical="center"/>
    </xf>
    <xf numFmtId="168" fontId="61" fillId="5" borderId="53" xfId="0" applyNumberFormat="1" applyFont="1" applyFill="1" applyBorder="1" applyAlignment="1" applyProtection="1">
      <alignment horizontal="left" wrapText="1"/>
    </xf>
    <xf numFmtId="168" fontId="61" fillId="5" borderId="0" xfId="0" applyNumberFormat="1" applyFont="1" applyFill="1" applyBorder="1" applyAlignment="1" applyProtection="1">
      <alignment horizontal="left" wrapText="1"/>
    </xf>
    <xf numFmtId="168" fontId="61" fillId="5" borderId="0" xfId="0" applyNumberFormat="1" applyFont="1" applyFill="1" applyBorder="1" applyAlignment="1" applyProtection="1">
      <alignment horizontal="left" wrapText="1" indent="1"/>
    </xf>
    <xf numFmtId="168" fontId="61" fillId="5" borderId="54" xfId="0" applyNumberFormat="1" applyFont="1" applyFill="1" applyBorder="1" applyAlignment="1" applyProtection="1">
      <alignment horizontal="left" wrapText="1" indent="1"/>
    </xf>
    <xf numFmtId="0" fontId="59" fillId="4" borderId="50" xfId="0" applyFont="1" applyFill="1" applyBorder="1" applyAlignment="1" applyProtection="1">
      <alignment horizontal="center" vertical="center" wrapText="1"/>
    </xf>
    <xf numFmtId="0" fontId="59" fillId="4" borderId="51" xfId="0" applyFont="1" applyFill="1" applyBorder="1" applyAlignment="1" applyProtection="1">
      <alignment horizontal="center" vertical="center" wrapText="1"/>
    </xf>
    <xf numFmtId="0" fontId="59" fillId="4" borderId="52" xfId="0" applyFont="1" applyFill="1" applyBorder="1" applyAlignment="1" applyProtection="1">
      <alignment horizontal="center" vertical="center" wrapText="1"/>
    </xf>
    <xf numFmtId="0" fontId="6" fillId="2" borderId="7" xfId="1" applyFont="1" applyFill="1" applyBorder="1" applyAlignment="1" applyProtection="1">
      <alignment horizontal="center" vertical="top"/>
      <protection locked="0"/>
    </xf>
    <xf numFmtId="0" fontId="6" fillId="2" borderId="5" xfId="1" applyFont="1" applyFill="1" applyBorder="1" applyAlignment="1" applyProtection="1">
      <alignment horizontal="center" vertical="top"/>
      <protection locked="0"/>
    </xf>
    <xf numFmtId="0" fontId="39" fillId="2" borderId="45" xfId="0" applyFont="1" applyFill="1" applyBorder="1" applyAlignment="1" applyProtection="1">
      <alignment horizontal="left" vertical="center"/>
      <protection locked="0"/>
    </xf>
    <xf numFmtId="0" fontId="39" fillId="2" borderId="46" xfId="0" applyFont="1" applyFill="1" applyBorder="1" applyAlignment="1" applyProtection="1">
      <alignment horizontal="left" vertical="center"/>
      <protection locked="0"/>
    </xf>
    <xf numFmtId="0" fontId="42" fillId="4" borderId="7" xfId="1" applyFont="1" applyFill="1" applyBorder="1" applyAlignment="1" applyProtection="1">
      <alignment horizontal="left" vertical="center" wrapText="1"/>
      <protection locked="0"/>
    </xf>
    <xf numFmtId="0" fontId="6" fillId="2" borderId="5" xfId="1" applyFont="1" applyFill="1" applyBorder="1" applyAlignment="1" applyProtection="1">
      <alignment horizontal="center" vertical="center"/>
      <protection locked="0"/>
    </xf>
    <xf numFmtId="0" fontId="0" fillId="3" borderId="0" xfId="0" applyFill="1" applyBorder="1" applyAlignment="1">
      <alignment horizontal="right" vertical="center"/>
    </xf>
    <xf numFmtId="0" fontId="19" fillId="0" borderId="20" xfId="0" applyFont="1" applyBorder="1" applyAlignment="1">
      <alignment horizontal="left" vertical="center"/>
    </xf>
    <xf numFmtId="0" fontId="19" fillId="0" borderId="0" xfId="0" applyFont="1" applyBorder="1" applyAlignment="1">
      <alignment horizontal="left" vertical="center"/>
    </xf>
    <xf numFmtId="0" fontId="17" fillId="4" borderId="0" xfId="0" applyFont="1" applyFill="1" applyBorder="1" applyAlignment="1" applyProtection="1">
      <alignment horizontal="center" vertical="center"/>
      <protection locked="0"/>
    </xf>
    <xf numFmtId="164" fontId="10" fillId="4" borderId="0" xfId="0" applyNumberFormat="1" applyFont="1" applyFill="1" applyBorder="1" applyAlignment="1" applyProtection="1">
      <alignment horizontal="center" vertical="center"/>
      <protection locked="0"/>
    </xf>
    <xf numFmtId="0" fontId="80" fillId="15" borderId="0" xfId="1" applyFont="1" applyFill="1" applyAlignment="1">
      <alignment vertical="top" wrapText="1"/>
    </xf>
    <xf numFmtId="0" fontId="80" fillId="0" borderId="0" xfId="0" applyFont="1" applyAlignment="1">
      <alignment vertical="top" wrapText="1"/>
    </xf>
    <xf numFmtId="0" fontId="80" fillId="0" borderId="67" xfId="0" applyFont="1" applyBorder="1" applyAlignment="1">
      <alignment vertical="top" wrapText="1"/>
    </xf>
    <xf numFmtId="0" fontId="6" fillId="2" borderId="0" xfId="1" applyFont="1" applyFill="1" applyBorder="1" applyAlignment="1" applyProtection="1">
      <alignment horizontal="center" vertical="center"/>
      <protection locked="0"/>
    </xf>
    <xf numFmtId="0" fontId="16" fillId="2" borderId="29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16" fillId="2" borderId="28" xfId="0" applyFont="1" applyFill="1" applyBorder="1" applyAlignment="1">
      <alignment horizontal="center" vertical="center"/>
    </xf>
    <xf numFmtId="0" fontId="73" fillId="15" borderId="0" xfId="1" applyFont="1" applyFill="1" applyAlignment="1">
      <alignment wrapText="1"/>
    </xf>
    <xf numFmtId="0" fontId="0" fillId="0" borderId="0" xfId="0" applyAlignment="1">
      <alignment wrapText="1"/>
    </xf>
    <xf numFmtId="0" fontId="0" fillId="0" borderId="67" xfId="0" applyBorder="1" applyAlignment="1">
      <alignment wrapText="1"/>
    </xf>
    <xf numFmtId="0" fontId="73" fillId="16" borderId="0" xfId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13" fillId="0" borderId="0" xfId="0" applyNumberFormat="1" applyFont="1" applyBorder="1" applyAlignment="1">
      <alignment horizontal="right" vertical="center" indent="1"/>
    </xf>
    <xf numFmtId="164" fontId="13" fillId="0" borderId="21" xfId="0" applyNumberFormat="1" applyFont="1" applyBorder="1" applyAlignment="1">
      <alignment horizontal="right" vertical="center" indent="1"/>
    </xf>
    <xf numFmtId="0" fontId="20" fillId="0" borderId="22" xfId="0" applyFont="1" applyBorder="1" applyAlignment="1">
      <alignment horizontal="left" vertical="center"/>
    </xf>
    <xf numFmtId="0" fontId="20" fillId="0" borderId="23" xfId="0" applyFont="1" applyBorder="1" applyAlignment="1">
      <alignment horizontal="left" vertical="center"/>
    </xf>
    <xf numFmtId="0" fontId="20" fillId="0" borderId="25" xfId="0" applyFont="1" applyBorder="1" applyAlignment="1">
      <alignment horizontal="left" vertical="center"/>
    </xf>
    <xf numFmtId="0" fontId="20" fillId="0" borderId="26" xfId="0" applyFont="1" applyBorder="1" applyAlignment="1">
      <alignment horizontal="left" vertical="center"/>
    </xf>
    <xf numFmtId="164" fontId="10" fillId="0" borderId="23" xfId="0" applyNumberFormat="1" applyFont="1" applyBorder="1" applyAlignment="1">
      <alignment horizontal="right" vertical="center" indent="1"/>
    </xf>
    <xf numFmtId="164" fontId="10" fillId="0" borderId="24" xfId="0" applyNumberFormat="1" applyFont="1" applyBorder="1" applyAlignment="1">
      <alignment horizontal="right" vertical="center" indent="1"/>
    </xf>
    <xf numFmtId="164" fontId="10" fillId="0" borderId="26" xfId="0" applyNumberFormat="1" applyFont="1" applyBorder="1" applyAlignment="1">
      <alignment horizontal="right" vertical="center" indent="1"/>
    </xf>
    <xf numFmtId="164" fontId="10" fillId="0" borderId="27" xfId="0" applyNumberFormat="1" applyFont="1" applyBorder="1" applyAlignment="1">
      <alignment horizontal="right" vertical="center" indent="1"/>
    </xf>
    <xf numFmtId="9" fontId="10" fillId="4" borderId="0" xfId="2" applyFont="1" applyFill="1" applyBorder="1" applyAlignment="1" applyProtection="1">
      <alignment horizontal="center" vertical="center"/>
      <protection locked="0"/>
    </xf>
    <xf numFmtId="0" fontId="18" fillId="0" borderId="20" xfId="0" applyFont="1" applyBorder="1" applyAlignment="1">
      <alignment horizontal="left" vertical="center"/>
    </xf>
    <xf numFmtId="0" fontId="18" fillId="0" borderId="0" xfId="0" applyFont="1" applyBorder="1" applyAlignment="1">
      <alignment horizontal="left" vertical="center"/>
    </xf>
    <xf numFmtId="0" fontId="0" fillId="2" borderId="2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164" fontId="13" fillId="0" borderId="0" xfId="2" applyNumberFormat="1" applyFont="1" applyBorder="1" applyAlignment="1">
      <alignment horizontal="right" vertical="center" indent="1"/>
    </xf>
    <xf numFmtId="164" fontId="13" fillId="0" borderId="21" xfId="2" applyNumberFormat="1" applyFont="1" applyBorder="1" applyAlignment="1">
      <alignment horizontal="right" vertical="center" indent="1"/>
    </xf>
  </cellXfs>
  <cellStyles count="3">
    <cellStyle name="Hiperlink" xfId="1" builtinId="8"/>
    <cellStyle name="Normal" xfId="0" builtinId="0"/>
    <cellStyle name="Porcentagem" xfId="2" builtinId="5"/>
  </cellStyles>
  <dxfs count="1369">
    <dxf>
      <alignment vertical="center" textRotation="0" indent="0" justifyLastLine="0" shrinkToFit="0" readingOrder="0"/>
    </dxf>
    <dxf>
      <font>
        <b val="0"/>
        <strike val="0"/>
        <outline val="0"/>
        <shadow val="0"/>
        <vertAlign val="baseline"/>
        <sz val="10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16]d\-mmm\-yy;@"/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0" formatCode="00000\-000"/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30" formatCode="@"/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4" formatCode="&quot;R$&quot;\ #,##0.00"/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</font>
      <numFmt numFmtId="164" formatCode="&quot;R$&quot;\ #,##0.00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</font>
      <numFmt numFmtId="164" formatCode="&quot;R$&quot;\ #,##0.00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</font>
      <numFmt numFmtId="165" formatCode="[$-416]d\-mmm\-yy;@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</font>
      <numFmt numFmtId="166" formatCode="#0"/>
      <alignment vertical="center" textRotation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vertical="center" textRotation="0" indent="0" justifyLastLine="0" shrinkToFit="0" readingOrder="0"/>
    </dxf>
    <dxf>
      <font>
        <b val="0"/>
        <strike val="0"/>
        <outline val="0"/>
        <shadow val="0"/>
        <vertAlign val="baseline"/>
        <sz val="1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7" tint="0.39997558519241921"/>
        </left>
        <right style="thin">
          <color theme="7" tint="0.39997558519241921"/>
        </right>
        <top/>
        <bottom/>
      </border>
      <protection locked="0" hidden="0"/>
    </dxf>
    <dxf>
      <fill>
        <patternFill>
          <bgColor theme="5" tint="-0.24994659260841701"/>
        </patternFill>
      </fill>
    </dxf>
    <dxf>
      <font>
        <color rgb="FFC00000"/>
      </font>
    </dxf>
    <dxf>
      <font>
        <color theme="9" tint="-0.499984740745262"/>
      </font>
    </dxf>
    <dxf>
      <font>
        <color rgb="FFC00000"/>
      </font>
    </dxf>
    <dxf>
      <font>
        <color theme="9" tint="-0.499984740745262"/>
      </font>
    </dxf>
    <dxf>
      <font>
        <color rgb="FFC00000"/>
      </font>
    </dxf>
    <dxf>
      <font>
        <color theme="9" tint="-0.499984740745262"/>
      </font>
    </dxf>
    <dxf>
      <font>
        <b val="0"/>
        <i/>
        <color theme="1" tint="0.499984740745262"/>
      </font>
    </dxf>
    <dxf>
      <font>
        <b/>
        <i val="0"/>
        <color rgb="FF00B050"/>
      </font>
    </dxf>
    <dxf>
      <font>
        <b/>
        <i val="0"/>
        <color theme="9" tint="-0.499984740745262"/>
      </font>
    </dxf>
    <dxf>
      <font>
        <b/>
        <i val="0"/>
        <color theme="7" tint="-0.499984740745262"/>
      </font>
    </dxf>
    <dxf>
      <font>
        <b/>
        <i val="0"/>
        <u/>
        <color theme="4" tint="-0.24994659260841701"/>
      </font>
    </dxf>
    <dxf>
      <font>
        <u/>
      </font>
    </dxf>
    <dxf>
      <fill>
        <patternFill>
          <bgColor theme="0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rgb="FFC00000"/>
        </patternFill>
      </fill>
    </dxf>
    <dxf>
      <font>
        <b/>
        <i val="0"/>
        <color theme="9" tint="-0.499984740745262"/>
      </font>
    </dxf>
    <dxf>
      <font>
        <b/>
        <i val="0"/>
        <color theme="7" tint="-0.499984740745262"/>
      </font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b/>
        <i val="0"/>
        <color theme="9" tint="-0.499984740745262"/>
      </font>
    </dxf>
    <dxf>
      <font>
        <b/>
        <i val="0"/>
        <color theme="7" tint="-0.499984740745262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C00000"/>
      </font>
    </dxf>
    <dxf>
      <font>
        <color theme="9" tint="-0.499984740745262"/>
      </font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C00000"/>
      </font>
    </dxf>
    <dxf>
      <font>
        <color theme="9" tint="-0.499984740745262"/>
      </font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 tint="0.499984740745262"/>
        <name val="Calibri"/>
        <family val="2"/>
        <scheme val="minor"/>
      </font>
      <numFmt numFmtId="164" formatCode="&quot;R$&quot;\ #,##0.00"/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4" formatCode="&quot;R$&quot;\ #,##0.00"/>
      <alignment horizontal="left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/>
        <vertAlign val="baseline"/>
        <sz val="11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rgb="FF806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7" tint="0.39997558519241921"/>
        </left>
        <right style="thin">
          <color theme="7" tint="0.39997558519241921"/>
        </right>
        <top/>
        <bottom/>
        <vertical style="thin">
          <color theme="7" tint="0.39997558519241921"/>
        </vertical>
        <horizontal/>
      </border>
      <protection locked="0" hidden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theme="1" tint="0.499984740745262"/>
      </font>
    </dxf>
    <dxf>
      <font>
        <color theme="0" tint="-0.24994659260841701"/>
      </font>
    </dxf>
    <dxf>
      <font>
        <b val="0"/>
        <i val="0"/>
        <color rgb="FF6B2525"/>
      </font>
    </dxf>
    <dxf>
      <font>
        <color rgb="FFEA2626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theme="1" tint="0.499984740745262"/>
      </font>
    </dxf>
    <dxf>
      <font>
        <color theme="0" tint="-0.24994659260841701"/>
      </font>
    </dxf>
    <dxf>
      <font>
        <b val="0"/>
        <i val="0"/>
        <color rgb="FF6B2525"/>
      </font>
    </dxf>
    <dxf>
      <font>
        <color rgb="FFEA2626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theme="1" tint="0.499984740745262"/>
      </font>
    </dxf>
    <dxf>
      <font>
        <color theme="0" tint="-0.24994659260841701"/>
      </font>
    </dxf>
    <dxf>
      <font>
        <b val="0"/>
        <i val="0"/>
        <color rgb="FF6B2525"/>
      </font>
    </dxf>
    <dxf>
      <font>
        <color rgb="FFEA2626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theme="1" tint="0.499984740745262"/>
      </font>
    </dxf>
    <dxf>
      <font>
        <color theme="0" tint="-0.24994659260841701"/>
      </font>
    </dxf>
    <dxf>
      <font>
        <b val="0"/>
        <i val="0"/>
        <color rgb="FF6B2525"/>
      </font>
    </dxf>
    <dxf>
      <font>
        <color rgb="FFEA2626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theme="1" tint="0.499984740745262"/>
      </font>
    </dxf>
    <dxf>
      <font>
        <color theme="0" tint="-0.24994659260841701"/>
      </font>
    </dxf>
    <dxf>
      <font>
        <b val="0"/>
        <i val="0"/>
        <color rgb="FF6B2525"/>
      </font>
    </dxf>
    <dxf>
      <font>
        <color rgb="FFEA2626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theme="1" tint="0.499984740745262"/>
      </font>
    </dxf>
    <dxf>
      <font>
        <color theme="0" tint="-0.24994659260841701"/>
      </font>
    </dxf>
    <dxf>
      <font>
        <b val="0"/>
        <i val="0"/>
        <color rgb="FF6B2525"/>
      </font>
    </dxf>
    <dxf>
      <font>
        <color rgb="FFEA2626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theme="1" tint="0.499984740745262"/>
      </font>
    </dxf>
    <dxf>
      <font>
        <color theme="0" tint="-0.24994659260841701"/>
      </font>
    </dxf>
    <dxf>
      <font>
        <b val="0"/>
        <i val="0"/>
        <color rgb="FF6B2525"/>
      </font>
    </dxf>
    <dxf>
      <font>
        <color rgb="FFEA2626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b val="0"/>
        <i val="0"/>
        <color rgb="FF6B2525"/>
      </font>
    </dxf>
    <dxf>
      <font>
        <color rgb="FFEA2626"/>
      </font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theme="0" tint="-0.24994659260841701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b val="0"/>
        <i val="0"/>
        <color rgb="FF6B2525"/>
      </font>
    </dxf>
    <dxf>
      <font>
        <color rgb="FFEA2626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b val="0"/>
        <i val="0"/>
        <color rgb="FF6B2525"/>
      </font>
    </dxf>
    <dxf>
      <font>
        <color rgb="FFEA2626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b val="0"/>
        <i val="0"/>
        <color rgb="FF6B2525"/>
      </font>
    </dxf>
    <dxf>
      <font>
        <color rgb="FFEA2626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b val="0"/>
        <i val="0"/>
        <color rgb="FF6B2525"/>
      </font>
    </dxf>
    <dxf>
      <font>
        <color rgb="FFEA2626"/>
      </font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ill>
        <patternFill>
          <bgColor theme="5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b val="0"/>
        <i val="0"/>
        <color rgb="FF6B2525"/>
      </font>
    </dxf>
    <dxf>
      <font>
        <color rgb="FFEA2626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b val="0"/>
        <i val="0"/>
        <color rgb="FF6B2525"/>
      </font>
    </dxf>
    <dxf>
      <font>
        <color rgb="FFEA2626"/>
      </font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b val="0"/>
        <i val="0"/>
        <color rgb="FF6B2525"/>
      </font>
    </dxf>
    <dxf>
      <font>
        <color rgb="FFEA2626"/>
      </font>
    </dxf>
    <dxf>
      <font>
        <strike/>
        <u/>
        <color rgb="FFC00000"/>
      </font>
    </dxf>
    <dxf>
      <font>
        <color rgb="FF9C5700"/>
      </font>
      <fill>
        <patternFill>
          <bgColor rgb="FFFFEB9C"/>
        </patternFill>
      </fill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/>
        <strike val="0"/>
        <color theme="1" tint="0.499984740745262"/>
      </font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5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499984740745262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 tint="0.499984740745262"/>
        <name val="Calibri"/>
        <family val="2"/>
        <scheme val="minor"/>
      </font>
      <numFmt numFmtId="164" formatCode="&quot;R$&quot;\ #,##0.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/>
        <vertAlign val="baseline"/>
        <sz val="11"/>
        <color theme="4" tint="-0.249977111117893"/>
        <name val="Calibri"/>
        <family val="2"/>
        <scheme val="minor"/>
      </font>
      <numFmt numFmtId="13" formatCode="0%"/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numFmt numFmtId="164" formatCode="&quot;R$&quot;\ #,##0.00"/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[$-416]d\-mmm\-yy;@"/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[$-416]d\-mmm\-yy;@"/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border>
        <bottom style="medium">
          <color theme="7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7" tint="0.39997558519241921"/>
        </left>
        <right style="thin">
          <color theme="7" tint="0.39997558519241921"/>
        </right>
        <top/>
        <bottom/>
        <vertical style="thin">
          <color theme="7" tint="0.39997558519241921"/>
        </vertical>
        <horizontal/>
      </border>
      <protection locked="0" hidden="0"/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0" tint="-0.34998626667073579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C0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ill>
        <patternFill>
          <bgColor rgb="FFFF0000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rgb="FFC0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</dxf>
    <dxf>
      <font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theme="1" tint="0.499984740745262"/>
      </font>
    </dxf>
    <dxf>
      <font>
        <color rgb="FFC00000"/>
      </font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5" tint="-0.24994659260841701"/>
        </patternFill>
      </fill>
    </dxf>
    <dxf>
      <font>
        <strike/>
        <color theme="0" tint="-4.9989318521683403E-2"/>
      </font>
    </dxf>
    <dxf>
      <fill>
        <patternFill>
          <bgColor theme="5" tint="-0.24994659260841701"/>
        </patternFill>
      </fill>
    </dxf>
    <dxf>
      <fill>
        <patternFill>
          <bgColor rgb="FFF29D64"/>
        </patternFill>
      </fill>
    </dxf>
    <dxf>
      <fill>
        <patternFill patternType="solid">
          <fgColor auto="1"/>
          <bgColor rgb="FFFFC000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thin">
          <color theme="0"/>
        </left>
        <top style="thin">
          <color theme="0"/>
        </top>
        <bottom style="thin">
          <color theme="0"/>
        </bottom>
        <vertical style="thin">
          <color theme="0"/>
        </vertical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 style="thin">
          <color theme="0"/>
        </vertical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 style="thin">
          <color theme="0"/>
        </vertical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 style="thin">
          <color theme="0"/>
        </vertical>
      </border>
    </dxf>
    <dxf>
      <border>
        <right/>
        <bottom/>
      </border>
    </dxf>
    <dxf>
      <border>
        <right/>
        <bottom/>
      </border>
    </dxf>
    <dxf>
      <border>
        <right/>
        <bottom/>
      </border>
    </dxf>
    <dxf>
      <border>
        <right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7" tint="0.39997558519241921"/>
      </font>
    </dxf>
    <dxf>
      <border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  <vertical style="thin">
          <color theme="7" tint="0.39997558519241921"/>
        </vertical>
        <horizontal style="thin">
          <color theme="7" tint="0.39997558519241921"/>
        </horizontal>
      </border>
    </dxf>
    <dxf>
      <border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  <vertical style="thin">
          <color theme="7" tint="0.39997558519241921"/>
        </vertical>
        <horizontal style="thin">
          <color theme="7" tint="0.39997558519241921"/>
        </horizontal>
      </border>
    </dxf>
    <dxf>
      <border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  <vertical style="thin">
          <color theme="7" tint="0.39997558519241921"/>
        </vertical>
        <horizontal style="thin">
          <color theme="7" tint="0.39997558519241921"/>
        </horizontal>
      </border>
    </dxf>
    <dxf>
      <border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  <vertical style="thin">
          <color theme="7" tint="0.39997558519241921"/>
        </vertical>
        <horizontal style="thin">
          <color theme="7" tint="0.39997558519241921"/>
        </horizontal>
      </border>
    </dxf>
    <dxf>
      <border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  <vertical style="thin">
          <color theme="7" tint="0.39997558519241921"/>
        </vertical>
        <horizontal style="thin">
          <color theme="7" tint="0.39997558519241921"/>
        </horizontal>
      </border>
    </dxf>
    <dxf>
      <border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  <vertical style="thin">
          <color theme="7" tint="0.39997558519241921"/>
        </vertical>
        <horizontal style="thin">
          <color theme="7" tint="0.39997558519241921"/>
        </horizontal>
      </border>
    </dxf>
    <dxf>
      <border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  <vertical style="thin">
          <color theme="7" tint="0.39997558519241921"/>
        </vertical>
        <horizontal style="thin">
          <color theme="7" tint="0.39997558519241921"/>
        </horizontal>
      </border>
    </dxf>
    <dxf>
      <border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  <vertical style="thin">
          <color theme="7" tint="0.39997558519241921"/>
        </vertical>
        <horizontal style="thin">
          <color theme="7" tint="0.39997558519241921"/>
        </horizontal>
      </border>
    </dxf>
    <dxf>
      <border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  <vertical style="thin">
          <color theme="7" tint="0.39997558519241921"/>
        </vertical>
        <horizontal style="thin">
          <color theme="7" tint="0.39997558519241921"/>
        </horizontal>
      </border>
    </dxf>
    <dxf>
      <border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  <vertical style="thin">
          <color theme="7" tint="0.39997558519241921"/>
        </vertical>
        <horizontal style="thin">
          <color theme="7" tint="0.39997558519241921"/>
        </horizontal>
      </border>
    </dxf>
    <dxf>
      <border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  <vertical style="thin">
          <color theme="7" tint="0.39997558519241921"/>
        </vertical>
        <horizontal style="thin">
          <color theme="7" tint="0.39997558519241921"/>
        </horizontal>
      </border>
    </dxf>
    <dxf>
      <border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  <vertical style="thin">
          <color theme="7" tint="0.39997558519241921"/>
        </vertical>
        <horizontal style="thin">
          <color theme="7" tint="0.39997558519241921"/>
        </horizontal>
      </border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</dxfs>
  <tableStyles count="0" defaultTableStyle="TableStyleMedium2" defaultPivotStyle="PivotStyleLight16"/>
  <colors>
    <mruColors>
      <color rgb="FFEAEAEA"/>
      <color rgb="FFE82E8A"/>
      <color rgb="FFEE8036"/>
      <color rgb="FFFEC6D3"/>
      <color rgb="FFFF66FF"/>
      <color rgb="FF6B2525"/>
      <color rgb="FFEA2626"/>
      <color rgb="FFF29D64"/>
      <color rgb="FFFF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Table" Target="pivotTables/pivotTabl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[Gestão de Anúncio - Mercado Livre.xlsm]Resumo!Tabela dinâmica5</c:name>
    <c:fmtId val="0"/>
  </c:pivotSource>
  <c:chart>
    <c:autoTitleDeleted val="0"/>
    <c:pivotFmts>
      <c:pivotFmt>
        <c:idx val="0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</c:marker>
      </c:pivotFmt>
      <c:pivotFmt>
        <c:idx val="1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6">
                <a:alpha val="7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</c:marker>
      </c:pivotFmt>
      <c:pivotFmt>
        <c:idx val="8"/>
        <c:spPr>
          <a:ln w="28575" cap="rnd">
            <a:solidFill>
              <a:schemeClr val="accent6">
                <a:alpha val="7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</c:marker>
      </c:pivotFmt>
      <c:pivotFmt>
        <c:idx val="9"/>
        <c:spPr>
          <a:solidFill>
            <a:schemeClr val="accent6">
              <a:alpha val="70000"/>
            </a:schemeClr>
          </a:solidFill>
          <a:ln w="28575" cap="rnd">
            <a:noFill/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</c:marker>
      </c:pivotFmt>
      <c:pivotFmt>
        <c:idx val="10"/>
        <c:spPr>
          <a:ln w="28575" cap="rnd">
            <a:solidFill>
              <a:schemeClr val="accent6">
                <a:alpha val="7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</c:marker>
      </c:pivotFmt>
      <c:pivotFmt>
        <c:idx val="11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alpha val="70000"/>
            </a:schemeClr>
          </a:solidFill>
          <a:ln w="28575" cap="rnd">
            <a:noFill/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6">
                <a:alpha val="7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lumMod val="60000"/>
                <a:alpha val="70000"/>
              </a:schemeClr>
            </a:solidFill>
            <a:ln>
              <a:noFill/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5.6581931253670198E-2"/>
          <c:y val="2.8900964113474432E-2"/>
          <c:w val="0.71732545579929685"/>
          <c:h val="0.79255574569804266"/>
        </c:manualLayout>
      </c:layout>
      <c:lineChart>
        <c:grouping val="standard"/>
        <c:varyColors val="0"/>
        <c:ser>
          <c:idx val="0"/>
          <c:order val="0"/>
          <c:tx>
            <c:strRef>
              <c:f>Resumo!$D$295:$D$296</c:f>
              <c:strCache>
                <c:ptCount val="1"/>
                <c:pt idx="0">
                  <c:v>Cancelada</c:v>
                </c:pt>
              </c:strCache>
            </c:strRef>
          </c:tx>
          <c:spPr>
            <a:ln w="28575" cap="rnd">
              <a:solidFill>
                <a:schemeClr val="accent6">
                  <a:alpha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alpha val="70000"/>
                </a:schemeClr>
              </a:solidFill>
              <a:ln>
                <a:noFill/>
              </a:ln>
              <a:effectLst/>
            </c:spPr>
          </c:marker>
          <c:cat>
            <c:multiLvlStrRef>
              <c:f>Resumo!$C$297:$C$336</c:f>
              <c:multiLvlStrCache>
                <c:ptCount val="27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  <c:pt idx="12">
                    <c:v>jan</c:v>
                  </c:pt>
                  <c:pt idx="13">
                    <c:v>fev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mai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set</c:v>
                  </c:pt>
                  <c:pt idx="21">
                    <c:v>out</c:v>
                  </c:pt>
                  <c:pt idx="22">
                    <c:v>nov</c:v>
                  </c:pt>
                  <c:pt idx="23">
                    <c:v>dez</c:v>
                  </c:pt>
                  <c:pt idx="24">
                    <c:v>jan</c:v>
                  </c:pt>
                  <c:pt idx="25">
                    <c:v>fev</c:v>
                  </c:pt>
                  <c:pt idx="26">
                    <c:v>mar</c:v>
                  </c:pt>
                </c:lvl>
                <c:lvl>
                  <c:pt idx="0">
                    <c:v>Trim1</c:v>
                  </c:pt>
                  <c:pt idx="3">
                    <c:v>Trim2</c:v>
                  </c:pt>
                  <c:pt idx="6">
                    <c:v>Trim3</c:v>
                  </c:pt>
                  <c:pt idx="9">
                    <c:v>Trim4</c:v>
                  </c:pt>
                  <c:pt idx="12">
                    <c:v>Trim1</c:v>
                  </c:pt>
                  <c:pt idx="15">
                    <c:v>Trim2</c:v>
                  </c:pt>
                  <c:pt idx="18">
                    <c:v>Trim3</c:v>
                  </c:pt>
                  <c:pt idx="21">
                    <c:v>Trim4</c:v>
                  </c:pt>
                  <c:pt idx="24">
                    <c:v>Trim1</c:v>
                  </c:pt>
                </c:lvl>
                <c:lvl>
                  <c:pt idx="0">
                    <c:v>2024</c:v>
                  </c:pt>
                  <c:pt idx="12">
                    <c:v>2025</c:v>
                  </c:pt>
                  <c:pt idx="24">
                    <c:v>2026</c:v>
                  </c:pt>
                </c:lvl>
              </c:multiLvlStrCache>
            </c:multiLvlStrRef>
          </c:cat>
          <c:val>
            <c:numRef>
              <c:f>Resumo!$D$297:$D$336</c:f>
              <c:numCache>
                <c:formatCode>General</c:formatCode>
                <c:ptCount val="27"/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10">
                  <c:v>1</c:v>
                </c:pt>
                <c:pt idx="12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8">
                  <c:v>1</c:v>
                </c:pt>
                <c:pt idx="19">
                  <c:v>1</c:v>
                </c:pt>
                <c:pt idx="21">
                  <c:v>1</c:v>
                </c:pt>
                <c:pt idx="2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CA-40CF-B088-CD355C7CF1CD}"/>
            </c:ext>
          </c:extLst>
        </c:ser>
        <c:ser>
          <c:idx val="1"/>
          <c:order val="1"/>
          <c:tx>
            <c:strRef>
              <c:f>Resumo!$E$295:$E$296</c:f>
              <c:strCache>
                <c:ptCount val="1"/>
                <c:pt idx="0">
                  <c:v>Devolução</c:v>
                </c:pt>
              </c:strCache>
            </c:strRef>
          </c:tx>
          <c:spPr>
            <a:ln w="28575" cap="rnd">
              <a:solidFill>
                <a:schemeClr val="accent5">
                  <a:alpha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alpha val="70000"/>
                </a:schemeClr>
              </a:solidFill>
              <a:ln>
                <a:noFill/>
              </a:ln>
              <a:effectLst/>
            </c:spPr>
          </c:marker>
          <c:cat>
            <c:multiLvlStrRef>
              <c:f>Resumo!$C$297:$C$336</c:f>
              <c:multiLvlStrCache>
                <c:ptCount val="27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  <c:pt idx="12">
                    <c:v>jan</c:v>
                  </c:pt>
                  <c:pt idx="13">
                    <c:v>fev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mai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set</c:v>
                  </c:pt>
                  <c:pt idx="21">
                    <c:v>out</c:v>
                  </c:pt>
                  <c:pt idx="22">
                    <c:v>nov</c:v>
                  </c:pt>
                  <c:pt idx="23">
                    <c:v>dez</c:v>
                  </c:pt>
                  <c:pt idx="24">
                    <c:v>jan</c:v>
                  </c:pt>
                  <c:pt idx="25">
                    <c:v>fev</c:v>
                  </c:pt>
                  <c:pt idx="26">
                    <c:v>mar</c:v>
                  </c:pt>
                </c:lvl>
                <c:lvl>
                  <c:pt idx="0">
                    <c:v>Trim1</c:v>
                  </c:pt>
                  <c:pt idx="3">
                    <c:v>Trim2</c:v>
                  </c:pt>
                  <c:pt idx="6">
                    <c:v>Trim3</c:v>
                  </c:pt>
                  <c:pt idx="9">
                    <c:v>Trim4</c:v>
                  </c:pt>
                  <c:pt idx="12">
                    <c:v>Trim1</c:v>
                  </c:pt>
                  <c:pt idx="15">
                    <c:v>Trim2</c:v>
                  </c:pt>
                  <c:pt idx="18">
                    <c:v>Trim3</c:v>
                  </c:pt>
                  <c:pt idx="21">
                    <c:v>Trim4</c:v>
                  </c:pt>
                  <c:pt idx="24">
                    <c:v>Trim1</c:v>
                  </c:pt>
                </c:lvl>
                <c:lvl>
                  <c:pt idx="0">
                    <c:v>2024</c:v>
                  </c:pt>
                  <c:pt idx="12">
                    <c:v>2025</c:v>
                  </c:pt>
                  <c:pt idx="24">
                    <c:v>2026</c:v>
                  </c:pt>
                </c:lvl>
              </c:multiLvlStrCache>
            </c:multiLvlStrRef>
          </c:cat>
          <c:val>
            <c:numRef>
              <c:f>Resumo!$E$297:$E$336</c:f>
              <c:numCache>
                <c:formatCode>General</c:formatCode>
                <c:ptCount val="27"/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10">
                  <c:v>1</c:v>
                </c:pt>
                <c:pt idx="13">
                  <c:v>2</c:v>
                </c:pt>
                <c:pt idx="22">
                  <c:v>1</c:v>
                </c:pt>
                <c:pt idx="2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5CA-40CF-B088-CD355C7CF1CD}"/>
            </c:ext>
          </c:extLst>
        </c:ser>
        <c:ser>
          <c:idx val="2"/>
          <c:order val="2"/>
          <c:tx>
            <c:strRef>
              <c:f>Resumo!$F$295:$F$296</c:f>
              <c:strCache>
                <c:ptCount val="1"/>
                <c:pt idx="0">
                  <c:v>Entregue</c:v>
                </c:pt>
              </c:strCache>
            </c:strRef>
          </c:tx>
          <c:spPr>
            <a:ln w="28575" cap="rnd">
              <a:solidFill>
                <a:schemeClr val="accent4">
                  <a:alpha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4">
                  <a:alpha val="70000"/>
                </a:schemeClr>
              </a:solidFill>
              <a:ln>
                <a:noFill/>
              </a:ln>
              <a:effectLst/>
            </c:spPr>
          </c:marker>
          <c:cat>
            <c:multiLvlStrRef>
              <c:f>Resumo!$C$297:$C$336</c:f>
              <c:multiLvlStrCache>
                <c:ptCount val="27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  <c:pt idx="12">
                    <c:v>jan</c:v>
                  </c:pt>
                  <c:pt idx="13">
                    <c:v>fev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mai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set</c:v>
                  </c:pt>
                  <c:pt idx="21">
                    <c:v>out</c:v>
                  </c:pt>
                  <c:pt idx="22">
                    <c:v>nov</c:v>
                  </c:pt>
                  <c:pt idx="23">
                    <c:v>dez</c:v>
                  </c:pt>
                  <c:pt idx="24">
                    <c:v>jan</c:v>
                  </c:pt>
                  <c:pt idx="25">
                    <c:v>fev</c:v>
                  </c:pt>
                  <c:pt idx="26">
                    <c:v>mar</c:v>
                  </c:pt>
                </c:lvl>
                <c:lvl>
                  <c:pt idx="0">
                    <c:v>Trim1</c:v>
                  </c:pt>
                  <c:pt idx="3">
                    <c:v>Trim2</c:v>
                  </c:pt>
                  <c:pt idx="6">
                    <c:v>Trim3</c:v>
                  </c:pt>
                  <c:pt idx="9">
                    <c:v>Trim4</c:v>
                  </c:pt>
                  <c:pt idx="12">
                    <c:v>Trim1</c:v>
                  </c:pt>
                  <c:pt idx="15">
                    <c:v>Trim2</c:v>
                  </c:pt>
                  <c:pt idx="18">
                    <c:v>Trim3</c:v>
                  </c:pt>
                  <c:pt idx="21">
                    <c:v>Trim4</c:v>
                  </c:pt>
                  <c:pt idx="24">
                    <c:v>Trim1</c:v>
                  </c:pt>
                </c:lvl>
                <c:lvl>
                  <c:pt idx="0">
                    <c:v>2024</c:v>
                  </c:pt>
                  <c:pt idx="12">
                    <c:v>2025</c:v>
                  </c:pt>
                  <c:pt idx="24">
                    <c:v>2026</c:v>
                  </c:pt>
                </c:lvl>
              </c:multiLvlStrCache>
            </c:multiLvlStrRef>
          </c:cat>
          <c:val>
            <c:numRef>
              <c:f>Resumo!$F$297:$F$336</c:f>
              <c:numCache>
                <c:formatCode>General</c:formatCode>
                <c:ptCount val="27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13</c:v>
                </c:pt>
                <c:pt idx="4">
                  <c:v>16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9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5</c:v>
                </c:pt>
                <c:pt idx="13">
                  <c:v>4</c:v>
                </c:pt>
                <c:pt idx="14">
                  <c:v>7</c:v>
                </c:pt>
                <c:pt idx="15">
                  <c:v>4</c:v>
                </c:pt>
                <c:pt idx="16">
                  <c:v>2</c:v>
                </c:pt>
                <c:pt idx="17">
                  <c:v>3</c:v>
                </c:pt>
                <c:pt idx="18">
                  <c:v>5</c:v>
                </c:pt>
                <c:pt idx="19">
                  <c:v>6</c:v>
                </c:pt>
                <c:pt idx="20">
                  <c:v>9</c:v>
                </c:pt>
                <c:pt idx="21">
                  <c:v>8</c:v>
                </c:pt>
                <c:pt idx="22">
                  <c:v>11</c:v>
                </c:pt>
                <c:pt idx="23">
                  <c:v>4</c:v>
                </c:pt>
                <c:pt idx="24">
                  <c:v>3</c:v>
                </c:pt>
                <c:pt idx="25">
                  <c:v>4</c:v>
                </c:pt>
                <c:pt idx="2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7AF-4E0E-890C-39F0FD8F4D3C}"/>
            </c:ext>
          </c:extLst>
        </c:ser>
        <c:ser>
          <c:idx val="3"/>
          <c:order val="3"/>
          <c:tx>
            <c:strRef>
              <c:f>Resumo!$G$295:$G$296</c:f>
              <c:strCache>
                <c:ptCount val="1"/>
                <c:pt idx="0">
                  <c:v>Reclamação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alpha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60000"/>
                  <a:alpha val="70000"/>
                </a:schemeClr>
              </a:solidFill>
              <a:ln>
                <a:noFill/>
              </a:ln>
              <a:effectLst/>
            </c:spPr>
          </c:marker>
          <c:cat>
            <c:multiLvlStrRef>
              <c:f>Resumo!$C$297:$C$336</c:f>
              <c:multiLvlStrCache>
                <c:ptCount val="27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  <c:pt idx="12">
                    <c:v>jan</c:v>
                  </c:pt>
                  <c:pt idx="13">
                    <c:v>fev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mai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set</c:v>
                  </c:pt>
                  <c:pt idx="21">
                    <c:v>out</c:v>
                  </c:pt>
                  <c:pt idx="22">
                    <c:v>nov</c:v>
                  </c:pt>
                  <c:pt idx="23">
                    <c:v>dez</c:v>
                  </c:pt>
                  <c:pt idx="24">
                    <c:v>jan</c:v>
                  </c:pt>
                  <c:pt idx="25">
                    <c:v>fev</c:v>
                  </c:pt>
                  <c:pt idx="26">
                    <c:v>mar</c:v>
                  </c:pt>
                </c:lvl>
                <c:lvl>
                  <c:pt idx="0">
                    <c:v>Trim1</c:v>
                  </c:pt>
                  <c:pt idx="3">
                    <c:v>Trim2</c:v>
                  </c:pt>
                  <c:pt idx="6">
                    <c:v>Trim3</c:v>
                  </c:pt>
                  <c:pt idx="9">
                    <c:v>Trim4</c:v>
                  </c:pt>
                  <c:pt idx="12">
                    <c:v>Trim1</c:v>
                  </c:pt>
                  <c:pt idx="15">
                    <c:v>Trim2</c:v>
                  </c:pt>
                  <c:pt idx="18">
                    <c:v>Trim3</c:v>
                  </c:pt>
                  <c:pt idx="21">
                    <c:v>Trim4</c:v>
                  </c:pt>
                  <c:pt idx="24">
                    <c:v>Trim1</c:v>
                  </c:pt>
                </c:lvl>
                <c:lvl>
                  <c:pt idx="0">
                    <c:v>2024</c:v>
                  </c:pt>
                  <c:pt idx="12">
                    <c:v>2025</c:v>
                  </c:pt>
                  <c:pt idx="24">
                    <c:v>2026</c:v>
                  </c:pt>
                </c:lvl>
              </c:multiLvlStrCache>
            </c:multiLvlStrRef>
          </c:cat>
          <c:val>
            <c:numRef>
              <c:f>Resumo!$G$297:$G$336</c:f>
              <c:numCache>
                <c:formatCode>General</c:formatCode>
                <c:ptCount val="27"/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D-451A-A60C-4B9A67907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366223"/>
        <c:axId val="560610959"/>
      </c:lineChart>
      <c:catAx>
        <c:axId val="75336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0610959"/>
        <c:crosses val="autoZero"/>
        <c:auto val="1"/>
        <c:lblAlgn val="ctr"/>
        <c:lblOffset val="100"/>
        <c:noMultiLvlLbl val="0"/>
      </c:catAx>
      <c:valAx>
        <c:axId val="560610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336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337915641936387"/>
          <c:y val="0.12543173458043042"/>
          <c:w val="0.18662075621964841"/>
          <c:h val="0.306972240617284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  <c:spPr>
          <a:solidFill>
            <a:schemeClr val="accent2"/>
          </a:solidFill>
          <a:ln>
            <a:noFill/>
          </a:ln>
          <a:effectLst/>
        </c:spPr>
      </c:pivotFmt>
      <c:pivotFmt>
        <c:idx val="23"/>
        <c:spPr>
          <a:solidFill>
            <a:schemeClr val="accent2"/>
          </a:solidFill>
          <a:ln>
            <a:noFill/>
          </a:ln>
          <a:effectLst/>
        </c:spPr>
      </c:pivotFmt>
      <c:pivotFmt>
        <c:idx val="24"/>
        <c:spPr>
          <a:solidFill>
            <a:schemeClr val="accent2"/>
          </a:solidFill>
          <a:ln>
            <a:noFill/>
          </a:ln>
          <a:effectLst/>
        </c:spPr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</c:pivotFmt>
      <c:pivotFmt>
        <c:idx val="26"/>
        <c:spPr>
          <a:solidFill>
            <a:schemeClr val="accent2"/>
          </a:solidFill>
          <a:ln>
            <a:noFill/>
          </a:ln>
          <a:effectLst/>
        </c:spPr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</c:pivotFmt>
      <c:pivotFmt>
        <c:idx val="30"/>
        <c:spPr>
          <a:solidFill>
            <a:schemeClr val="accent2"/>
          </a:solidFill>
          <a:ln>
            <a:noFill/>
          </a:ln>
          <a:effectLst/>
        </c:spPr>
      </c:pivotFmt>
      <c:pivotFmt>
        <c:idx val="31"/>
        <c:spPr>
          <a:solidFill>
            <a:schemeClr val="accent2"/>
          </a:solidFill>
          <a:ln>
            <a:noFill/>
          </a:ln>
          <a:effectLst/>
        </c:spPr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</c:pivotFmt>
      <c:pivotFmt>
        <c:idx val="35"/>
        <c:spPr>
          <a:solidFill>
            <a:schemeClr val="accent2"/>
          </a:solidFill>
          <a:ln>
            <a:noFill/>
          </a:ln>
          <a:effectLst/>
        </c:spPr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</c:pivotFmt>
      <c:pivotFmt>
        <c:idx val="38"/>
        <c:spPr>
          <a:solidFill>
            <a:schemeClr val="accent2"/>
          </a:solidFill>
          <a:ln>
            <a:noFill/>
          </a:ln>
          <a:effectLst/>
        </c:spPr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</c:pivotFmt>
      <c:pivotFmt>
        <c:idx val="40"/>
        <c:spPr>
          <a:solidFill>
            <a:schemeClr val="accent2"/>
          </a:solidFill>
          <a:ln>
            <a:noFill/>
          </a:ln>
          <a:effectLst/>
        </c:spPr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</c:pivotFmt>
      <c:pivotFmt>
        <c:idx val="42"/>
        <c:spPr>
          <a:solidFill>
            <a:schemeClr val="accent2"/>
          </a:solidFill>
          <a:ln>
            <a:noFill/>
          </a:ln>
          <a:effectLst/>
        </c:spPr>
      </c:pivotFmt>
      <c:pivotFmt>
        <c:idx val="43"/>
        <c:spPr>
          <a:solidFill>
            <a:schemeClr val="accent2"/>
          </a:solidFill>
          <a:ln>
            <a:noFill/>
          </a:ln>
          <a:effectLst/>
        </c:spPr>
      </c:pivotFmt>
      <c:pivotFmt>
        <c:idx val="44"/>
        <c:spPr>
          <a:solidFill>
            <a:schemeClr val="accent2"/>
          </a:solidFill>
          <a:ln>
            <a:noFill/>
          </a:ln>
          <a:effectLst/>
        </c:spPr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</c:pivotFmt>
      <c:pivotFmt>
        <c:idx val="46"/>
        <c:spPr>
          <a:solidFill>
            <a:schemeClr val="accent2"/>
          </a:solidFill>
          <a:ln>
            <a:noFill/>
          </a:ln>
          <a:effectLst/>
        </c:spPr>
      </c:pivotFmt>
      <c:pivotFmt>
        <c:idx val="47"/>
        <c:spPr>
          <a:solidFill>
            <a:schemeClr val="accent2"/>
          </a:solidFill>
          <a:ln>
            <a:noFill/>
          </a:ln>
          <a:effectLst/>
        </c:spPr>
      </c:pivotFmt>
      <c:pivotFmt>
        <c:idx val="48"/>
        <c:spPr>
          <a:solidFill>
            <a:schemeClr val="accent2"/>
          </a:solidFill>
          <a:ln>
            <a:noFill/>
          </a:ln>
          <a:effectLst/>
        </c:spPr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</c:pivotFmt>
      <c:pivotFmt>
        <c:idx val="50"/>
        <c:spPr>
          <a:solidFill>
            <a:schemeClr val="accent2"/>
          </a:solidFill>
          <a:ln>
            <a:noFill/>
          </a:ln>
          <a:effectLst/>
        </c:spPr>
      </c:pivotFmt>
      <c:pivotFmt>
        <c:idx val="51"/>
        <c:spPr>
          <a:solidFill>
            <a:schemeClr val="accent2"/>
          </a:solidFill>
          <a:ln>
            <a:noFill/>
          </a:ln>
          <a:effectLst/>
        </c:spPr>
      </c:pivotFmt>
      <c:pivotFmt>
        <c:idx val="52"/>
        <c:spPr>
          <a:solidFill>
            <a:schemeClr val="accent2"/>
          </a:solidFill>
          <a:ln>
            <a:noFill/>
          </a:ln>
          <a:effectLst/>
        </c:spPr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</c:pivotFmt>
      <c:pivotFmt>
        <c:idx val="54"/>
        <c:spPr>
          <a:solidFill>
            <a:schemeClr val="accent2"/>
          </a:solidFill>
          <a:ln>
            <a:noFill/>
          </a:ln>
          <a:effectLst/>
        </c:spPr>
      </c:pivotFmt>
      <c:pivotFmt>
        <c:idx val="55"/>
        <c:spPr>
          <a:solidFill>
            <a:schemeClr val="accent2"/>
          </a:solidFill>
          <a:ln>
            <a:noFill/>
          </a:ln>
          <a:effectLst/>
        </c:spPr>
      </c:pivotFmt>
      <c:pivotFmt>
        <c:idx val="56"/>
        <c:spPr>
          <a:solidFill>
            <a:schemeClr val="accent2"/>
          </a:solidFill>
          <a:ln>
            <a:noFill/>
          </a:ln>
          <a:effectLst/>
        </c:spPr>
      </c:pivotFmt>
      <c:pivotFmt>
        <c:idx val="57"/>
        <c:spPr>
          <a:solidFill>
            <a:schemeClr val="accent2"/>
          </a:solidFill>
          <a:ln>
            <a:noFill/>
          </a:ln>
          <a:effectLst/>
        </c:spPr>
      </c:pivotFmt>
      <c:pivotFmt>
        <c:idx val="58"/>
        <c:spPr>
          <a:solidFill>
            <a:schemeClr val="accent2"/>
          </a:solidFill>
          <a:ln>
            <a:noFill/>
          </a:ln>
          <a:effectLst/>
        </c:spPr>
      </c:pivotFmt>
      <c:pivotFmt>
        <c:idx val="59"/>
        <c:spPr>
          <a:solidFill>
            <a:schemeClr val="accent2"/>
          </a:solidFill>
          <a:ln>
            <a:noFill/>
          </a:ln>
          <a:effectLst/>
        </c:spPr>
      </c:pivotFmt>
      <c:pivotFmt>
        <c:idx val="60"/>
        <c:spPr>
          <a:solidFill>
            <a:schemeClr val="accent2"/>
          </a:solidFill>
          <a:ln>
            <a:noFill/>
          </a:ln>
          <a:effectLst/>
        </c:spPr>
      </c:pivotFmt>
      <c:pivotFmt>
        <c:idx val="61"/>
        <c:spPr>
          <a:solidFill>
            <a:schemeClr val="accent2"/>
          </a:solidFill>
          <a:ln>
            <a:noFill/>
          </a:ln>
          <a:effectLst/>
        </c:spPr>
      </c:pivotFmt>
      <c:pivotFmt>
        <c:idx val="62"/>
        <c:spPr>
          <a:solidFill>
            <a:schemeClr val="accent2"/>
          </a:solidFill>
          <a:ln>
            <a:noFill/>
          </a:ln>
          <a:effectLst/>
        </c:spPr>
      </c:pivotFmt>
      <c:pivotFmt>
        <c:idx val="63"/>
        <c:spPr>
          <a:solidFill>
            <a:schemeClr val="accent2"/>
          </a:solidFill>
          <a:ln>
            <a:noFill/>
          </a:ln>
          <a:effectLst/>
        </c:spPr>
      </c:pivotFmt>
      <c:pivotFmt>
        <c:idx val="64"/>
        <c:spPr>
          <a:solidFill>
            <a:schemeClr val="accent2"/>
          </a:solidFill>
          <a:ln>
            <a:noFill/>
          </a:ln>
          <a:effectLst/>
        </c:spPr>
      </c:pivotFmt>
      <c:pivotFmt>
        <c:idx val="65"/>
        <c:spPr>
          <a:solidFill>
            <a:schemeClr val="accent2"/>
          </a:solidFill>
          <a:ln>
            <a:noFill/>
          </a:ln>
          <a:effectLst/>
        </c:spPr>
      </c:pivotFmt>
      <c:pivotFmt>
        <c:idx val="66"/>
        <c:spPr>
          <a:solidFill>
            <a:schemeClr val="accent2"/>
          </a:solidFill>
          <a:ln>
            <a:noFill/>
          </a:ln>
          <a:effectLst/>
        </c:spPr>
      </c:pivotFmt>
      <c:pivotFmt>
        <c:idx val="67"/>
        <c:spPr>
          <a:solidFill>
            <a:schemeClr val="accent2"/>
          </a:solidFill>
          <a:ln>
            <a:noFill/>
          </a:ln>
          <a:effectLst/>
        </c:spPr>
      </c:pivotFmt>
      <c:pivotFmt>
        <c:idx val="68"/>
        <c:spPr>
          <a:solidFill>
            <a:schemeClr val="accent2"/>
          </a:solidFill>
          <a:ln>
            <a:noFill/>
          </a:ln>
          <a:effectLst/>
        </c:spPr>
      </c:pivotFmt>
      <c:pivotFmt>
        <c:idx val="69"/>
        <c:spPr>
          <a:solidFill>
            <a:schemeClr val="accent2"/>
          </a:solidFill>
          <a:ln>
            <a:noFill/>
          </a:ln>
          <a:effectLst/>
        </c:spPr>
      </c:pivotFmt>
      <c:pivotFmt>
        <c:idx val="70"/>
        <c:spPr>
          <a:solidFill>
            <a:schemeClr val="accent2"/>
          </a:solidFill>
          <a:ln>
            <a:noFill/>
          </a:ln>
          <a:effectLst/>
        </c:spPr>
      </c:pivotFmt>
      <c:pivotFmt>
        <c:idx val="71"/>
        <c:spPr>
          <a:solidFill>
            <a:schemeClr val="accent2"/>
          </a:solidFill>
          <a:ln>
            <a:noFill/>
          </a:ln>
          <a:effectLst/>
        </c:spPr>
      </c:pivotFmt>
      <c:pivotFmt>
        <c:idx val="72"/>
        <c:spPr>
          <a:solidFill>
            <a:schemeClr val="accent2"/>
          </a:solidFill>
          <a:ln>
            <a:noFill/>
          </a:ln>
          <a:effectLst/>
        </c:spPr>
      </c:pivotFmt>
      <c:pivotFmt>
        <c:idx val="73"/>
        <c:spPr>
          <a:solidFill>
            <a:schemeClr val="accent2"/>
          </a:solidFill>
          <a:ln>
            <a:noFill/>
          </a:ln>
          <a:effectLst/>
        </c:spPr>
      </c:pivotFmt>
      <c:pivotFmt>
        <c:idx val="74"/>
        <c:spPr>
          <a:solidFill>
            <a:schemeClr val="accent2"/>
          </a:solidFill>
          <a:ln>
            <a:noFill/>
          </a:ln>
          <a:effectLst/>
        </c:spPr>
      </c:pivotFmt>
      <c:pivotFmt>
        <c:idx val="75"/>
        <c:spPr>
          <a:solidFill>
            <a:schemeClr val="accent2"/>
          </a:solidFill>
          <a:ln>
            <a:noFill/>
          </a:ln>
          <a:effectLst/>
        </c:spPr>
      </c:pivotFmt>
      <c:pivotFmt>
        <c:idx val="76"/>
        <c:spPr>
          <a:solidFill>
            <a:schemeClr val="accent2"/>
          </a:solidFill>
          <a:ln>
            <a:noFill/>
          </a:ln>
          <a:effectLst/>
        </c:spPr>
      </c:pivotFmt>
      <c:pivotFmt>
        <c:idx val="77"/>
        <c:spPr>
          <a:solidFill>
            <a:schemeClr val="accent2"/>
          </a:solidFill>
          <a:ln>
            <a:noFill/>
          </a:ln>
          <a:effectLst/>
        </c:spPr>
      </c:pivotFmt>
      <c:pivotFmt>
        <c:idx val="78"/>
        <c:spPr>
          <a:solidFill>
            <a:schemeClr val="accent2"/>
          </a:solidFill>
          <a:ln>
            <a:noFill/>
          </a:ln>
          <a:effectLst/>
        </c:spPr>
      </c:pivotFmt>
      <c:pivotFmt>
        <c:idx val="79"/>
        <c:spPr>
          <a:solidFill>
            <a:schemeClr val="accent2"/>
          </a:solidFill>
          <a:ln>
            <a:noFill/>
          </a:ln>
          <a:effectLst/>
        </c:spPr>
      </c:pivotFmt>
      <c:pivotFmt>
        <c:idx val="80"/>
        <c:spPr>
          <a:solidFill>
            <a:schemeClr val="accent2"/>
          </a:solidFill>
          <a:ln>
            <a:noFill/>
          </a:ln>
          <a:effectLst/>
        </c:spPr>
      </c:pivotFmt>
      <c:pivotFmt>
        <c:idx val="81"/>
        <c:spPr>
          <a:solidFill>
            <a:schemeClr val="accent2"/>
          </a:solidFill>
          <a:ln>
            <a:noFill/>
          </a:ln>
          <a:effectLst/>
        </c:spPr>
      </c:pivotFmt>
      <c:pivotFmt>
        <c:idx val="82"/>
        <c:spPr>
          <a:solidFill>
            <a:schemeClr val="accent2"/>
          </a:solidFill>
          <a:ln>
            <a:noFill/>
          </a:ln>
          <a:effectLst/>
        </c:spPr>
      </c:pivotFmt>
      <c:pivotFmt>
        <c:idx val="83"/>
        <c:spPr>
          <a:solidFill>
            <a:schemeClr val="accent2"/>
          </a:solidFill>
          <a:ln>
            <a:noFill/>
          </a:ln>
          <a:effectLst/>
        </c:spPr>
      </c:pivotFmt>
      <c:pivotFmt>
        <c:idx val="84"/>
        <c:spPr>
          <a:solidFill>
            <a:schemeClr val="accent2"/>
          </a:solidFill>
          <a:ln>
            <a:noFill/>
          </a:ln>
          <a:effectLst/>
        </c:spPr>
      </c:pivotFmt>
      <c:pivotFmt>
        <c:idx val="85"/>
        <c:spPr>
          <a:solidFill>
            <a:schemeClr val="accent2"/>
          </a:solidFill>
          <a:ln>
            <a:noFill/>
          </a:ln>
          <a:effectLst/>
        </c:spPr>
      </c:pivotFmt>
      <c:pivotFmt>
        <c:idx val="86"/>
        <c:spPr>
          <a:solidFill>
            <a:schemeClr val="accent2"/>
          </a:solidFill>
          <a:ln>
            <a:noFill/>
          </a:ln>
          <a:effectLst/>
        </c:spPr>
      </c:pivotFmt>
      <c:pivotFmt>
        <c:idx val="87"/>
        <c:spPr>
          <a:solidFill>
            <a:schemeClr val="accent2"/>
          </a:solidFill>
          <a:ln>
            <a:noFill/>
          </a:ln>
          <a:effectLst/>
        </c:spPr>
      </c:pivotFmt>
      <c:pivotFmt>
        <c:idx val="88"/>
        <c:spPr>
          <a:solidFill>
            <a:schemeClr val="accent2"/>
          </a:solidFill>
          <a:ln>
            <a:noFill/>
          </a:ln>
          <a:effectLst/>
        </c:spPr>
      </c:pivotFmt>
      <c:pivotFmt>
        <c:idx val="89"/>
        <c:spPr>
          <a:solidFill>
            <a:schemeClr val="accent2"/>
          </a:solidFill>
          <a:ln>
            <a:noFill/>
          </a:ln>
          <a:effectLst/>
        </c:spPr>
      </c:pivotFmt>
      <c:pivotFmt>
        <c:idx val="90"/>
        <c:spPr>
          <a:solidFill>
            <a:schemeClr val="accent2"/>
          </a:solidFill>
          <a:ln>
            <a:noFill/>
          </a:ln>
          <a:effectLst/>
        </c:spPr>
      </c:pivotFmt>
      <c:pivotFmt>
        <c:idx val="91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&quot;R$&quot;\ #,##0.00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79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numFmt formatCode="&quot;R$&quot;\ #,##0.00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numFmt formatCode="&quot;R$&quot;\ #,##0.00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numFmt formatCode="&quot;R$&quot;\ #,##0.00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numFmt formatCode="&quot;R$&quot;\ #,##0.00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&quot;R$&quot;\ #,##0.00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79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&quot;R$&quot;\ #,##0.00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79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&quot;R$&quot;\ #,##0.00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79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&quot;R$&quot;\ #,##0.00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79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&quot;R$&quot;\ #,##0.00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79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2"/>
          </a:solidFill>
          <a:ln>
            <a:noFill/>
          </a:ln>
          <a:effectLst/>
        </c:spPr>
      </c:pivotFmt>
      <c:pivotFmt>
        <c:idx val="107"/>
        <c:spPr>
          <a:solidFill>
            <a:schemeClr val="accent2"/>
          </a:solidFill>
          <a:ln>
            <a:noFill/>
          </a:ln>
          <a:effectLst/>
        </c:spPr>
      </c:pivotFmt>
      <c:pivotFmt>
        <c:idx val="108"/>
        <c:spPr>
          <a:solidFill>
            <a:schemeClr val="accent2"/>
          </a:solidFill>
          <a:ln>
            <a:noFill/>
          </a:ln>
          <a:effectLst/>
        </c:spPr>
      </c:pivotFmt>
      <c:pivotFmt>
        <c:idx val="109"/>
        <c:spPr>
          <a:solidFill>
            <a:schemeClr val="accent2"/>
          </a:solidFill>
          <a:ln>
            <a:noFill/>
          </a:ln>
          <a:effectLst/>
        </c:spPr>
      </c:pivotFmt>
      <c:pivotFmt>
        <c:idx val="110"/>
        <c:spPr>
          <a:solidFill>
            <a:schemeClr val="accent2"/>
          </a:solidFill>
          <a:ln>
            <a:noFill/>
          </a:ln>
          <a:effectLst/>
        </c:spPr>
      </c:pivotFmt>
      <c:pivotFmt>
        <c:idx val="111"/>
        <c:spPr>
          <a:solidFill>
            <a:schemeClr val="accent2"/>
          </a:solidFill>
          <a:ln>
            <a:noFill/>
          </a:ln>
          <a:effectLst/>
        </c:spPr>
      </c:pivotFmt>
      <c:pivotFmt>
        <c:idx val="112"/>
        <c:spPr>
          <a:solidFill>
            <a:schemeClr val="accent2"/>
          </a:solidFill>
          <a:ln>
            <a:noFill/>
          </a:ln>
          <a:effectLst/>
        </c:spPr>
      </c:pivotFmt>
      <c:pivotFmt>
        <c:idx val="113"/>
        <c:spPr>
          <a:solidFill>
            <a:schemeClr val="accent2"/>
          </a:solidFill>
          <a:ln>
            <a:noFill/>
          </a:ln>
          <a:effectLst/>
        </c:spPr>
      </c:pivotFmt>
      <c:pivotFmt>
        <c:idx val="114"/>
        <c:spPr>
          <a:solidFill>
            <a:schemeClr val="accent2"/>
          </a:solidFill>
          <a:ln>
            <a:noFill/>
          </a:ln>
          <a:effectLst/>
        </c:spPr>
      </c:pivotFmt>
      <c:pivotFmt>
        <c:idx val="115"/>
        <c:spPr>
          <a:solidFill>
            <a:schemeClr val="accent2"/>
          </a:solidFill>
          <a:ln>
            <a:noFill/>
          </a:ln>
          <a:effectLst/>
        </c:spPr>
      </c:pivotFmt>
      <c:pivotFmt>
        <c:idx val="116"/>
        <c:spPr>
          <a:solidFill>
            <a:schemeClr val="accent2"/>
          </a:solidFill>
          <a:ln>
            <a:noFill/>
          </a:ln>
          <a:effectLst/>
        </c:spPr>
      </c:pivotFmt>
      <c:pivotFmt>
        <c:idx val="117"/>
        <c:spPr>
          <a:solidFill>
            <a:schemeClr val="accent2"/>
          </a:solidFill>
          <a:ln>
            <a:noFill/>
          </a:ln>
          <a:effectLst/>
        </c:spPr>
      </c:pivotFmt>
      <c:pivotFmt>
        <c:idx val="118"/>
        <c:spPr>
          <a:solidFill>
            <a:schemeClr val="accent2"/>
          </a:solidFill>
          <a:ln>
            <a:noFill/>
          </a:ln>
          <a:effectLst/>
        </c:spPr>
      </c:pivotFmt>
      <c:pivotFmt>
        <c:idx val="119"/>
        <c:spPr>
          <a:solidFill>
            <a:schemeClr val="accent2"/>
          </a:solidFill>
          <a:ln>
            <a:noFill/>
          </a:ln>
          <a:effectLst/>
        </c:spPr>
      </c:pivotFmt>
      <c:pivotFmt>
        <c:idx val="120"/>
        <c:spPr>
          <a:solidFill>
            <a:schemeClr val="accent2"/>
          </a:solidFill>
          <a:ln>
            <a:noFill/>
          </a:ln>
          <a:effectLst/>
        </c:spPr>
      </c:pivotFmt>
      <c:pivotFmt>
        <c:idx val="121"/>
        <c:spPr>
          <a:solidFill>
            <a:schemeClr val="accent2"/>
          </a:solidFill>
          <a:ln>
            <a:noFill/>
          </a:ln>
          <a:effectLst/>
        </c:spPr>
      </c:pivotFmt>
      <c:pivotFmt>
        <c:idx val="122"/>
        <c:spPr>
          <a:solidFill>
            <a:schemeClr val="accent2"/>
          </a:solidFill>
          <a:ln>
            <a:noFill/>
          </a:ln>
          <a:effectLst/>
        </c:spPr>
      </c:pivotFmt>
      <c:pivotFmt>
        <c:idx val="123"/>
        <c:spPr>
          <a:solidFill>
            <a:schemeClr val="accent2"/>
          </a:solidFill>
          <a:ln>
            <a:noFill/>
          </a:ln>
          <a:effectLst/>
        </c:spPr>
      </c:pivotFmt>
      <c:pivotFmt>
        <c:idx val="124"/>
        <c:spPr>
          <a:solidFill>
            <a:schemeClr val="accent2"/>
          </a:solidFill>
          <a:ln>
            <a:noFill/>
          </a:ln>
          <a:effectLst/>
        </c:spPr>
      </c:pivotFmt>
      <c:pivotFmt>
        <c:idx val="125"/>
        <c:spPr>
          <a:solidFill>
            <a:schemeClr val="accent2"/>
          </a:solidFill>
          <a:ln>
            <a:noFill/>
          </a:ln>
          <a:effectLst/>
        </c:spPr>
      </c:pivotFmt>
      <c:pivotFmt>
        <c:idx val="126"/>
        <c:spPr>
          <a:solidFill>
            <a:schemeClr val="accent2"/>
          </a:solidFill>
          <a:ln>
            <a:noFill/>
          </a:ln>
          <a:effectLst/>
        </c:spPr>
      </c:pivotFmt>
      <c:pivotFmt>
        <c:idx val="127"/>
        <c:spPr>
          <a:solidFill>
            <a:schemeClr val="accent2"/>
          </a:solidFill>
          <a:ln>
            <a:noFill/>
          </a:ln>
          <a:effectLst/>
        </c:spPr>
      </c:pivotFmt>
      <c:pivotFmt>
        <c:idx val="128"/>
        <c:spPr>
          <a:solidFill>
            <a:schemeClr val="accent2"/>
          </a:solidFill>
          <a:ln>
            <a:noFill/>
          </a:ln>
          <a:effectLst/>
        </c:spPr>
      </c:pivotFmt>
      <c:pivotFmt>
        <c:idx val="129"/>
        <c:spPr>
          <a:solidFill>
            <a:schemeClr val="accent2"/>
          </a:solidFill>
          <a:ln>
            <a:noFill/>
          </a:ln>
          <a:effectLst/>
        </c:spPr>
      </c:pivotFmt>
      <c:pivotFmt>
        <c:idx val="130"/>
        <c:spPr>
          <a:solidFill>
            <a:schemeClr val="accent2"/>
          </a:solidFill>
          <a:ln>
            <a:noFill/>
          </a:ln>
          <a:effectLst/>
        </c:spPr>
      </c:pivotFmt>
      <c:pivotFmt>
        <c:idx val="131"/>
        <c:spPr>
          <a:solidFill>
            <a:schemeClr val="accent2"/>
          </a:solidFill>
          <a:ln>
            <a:noFill/>
          </a:ln>
          <a:effectLst/>
        </c:spPr>
      </c:pivotFmt>
      <c:pivotFmt>
        <c:idx val="132"/>
        <c:spPr>
          <a:solidFill>
            <a:schemeClr val="accent2"/>
          </a:solidFill>
          <a:ln>
            <a:noFill/>
          </a:ln>
          <a:effectLst/>
        </c:spPr>
      </c:pivotFmt>
      <c:pivotFmt>
        <c:idx val="133"/>
        <c:spPr>
          <a:solidFill>
            <a:schemeClr val="accent2"/>
          </a:solidFill>
          <a:ln>
            <a:noFill/>
          </a:ln>
          <a:effectLst/>
        </c:spPr>
      </c:pivotFmt>
      <c:pivotFmt>
        <c:idx val="134"/>
        <c:spPr>
          <a:solidFill>
            <a:schemeClr val="accent2"/>
          </a:solidFill>
          <a:ln>
            <a:noFill/>
          </a:ln>
          <a:effectLst/>
        </c:spPr>
      </c:pivotFmt>
      <c:pivotFmt>
        <c:idx val="135"/>
        <c:spPr>
          <a:solidFill>
            <a:schemeClr val="accent2"/>
          </a:solidFill>
          <a:ln>
            <a:noFill/>
          </a:ln>
          <a:effectLst/>
        </c:spPr>
      </c:pivotFmt>
      <c:pivotFmt>
        <c:idx val="136"/>
        <c:spPr>
          <a:solidFill>
            <a:schemeClr val="accent2"/>
          </a:solidFill>
          <a:ln>
            <a:noFill/>
          </a:ln>
          <a:effectLst/>
        </c:spPr>
      </c:pivotFmt>
      <c:pivotFmt>
        <c:idx val="137"/>
        <c:spPr>
          <a:solidFill>
            <a:schemeClr val="accent2"/>
          </a:solidFill>
          <a:ln>
            <a:noFill/>
          </a:ln>
          <a:effectLst/>
        </c:spPr>
      </c:pivotFmt>
      <c:pivotFmt>
        <c:idx val="138"/>
        <c:spPr>
          <a:solidFill>
            <a:schemeClr val="accent2"/>
          </a:solidFill>
          <a:ln>
            <a:noFill/>
          </a:ln>
          <a:effectLst/>
        </c:spPr>
      </c:pivotFmt>
      <c:pivotFmt>
        <c:idx val="139"/>
        <c:spPr>
          <a:solidFill>
            <a:schemeClr val="accent2"/>
          </a:solidFill>
          <a:ln>
            <a:noFill/>
          </a:ln>
          <a:effectLst/>
        </c:spPr>
      </c:pivotFmt>
      <c:pivotFmt>
        <c:idx val="140"/>
        <c:spPr>
          <a:solidFill>
            <a:schemeClr val="accent2"/>
          </a:solidFill>
          <a:ln>
            <a:noFill/>
          </a:ln>
          <a:effectLst/>
        </c:spPr>
      </c:pivotFmt>
      <c:pivotFmt>
        <c:idx val="141"/>
        <c:spPr>
          <a:solidFill>
            <a:schemeClr val="accent2"/>
          </a:solidFill>
          <a:ln>
            <a:noFill/>
          </a:ln>
          <a:effectLst/>
        </c:spPr>
      </c:pivotFmt>
      <c:pivotFmt>
        <c:idx val="142"/>
        <c:spPr>
          <a:solidFill>
            <a:schemeClr val="accent2"/>
          </a:solidFill>
          <a:ln>
            <a:noFill/>
          </a:ln>
          <a:effectLst/>
        </c:spPr>
      </c:pivotFmt>
      <c:pivotFmt>
        <c:idx val="143"/>
        <c:spPr>
          <a:solidFill>
            <a:schemeClr val="accent2"/>
          </a:solidFill>
          <a:ln>
            <a:noFill/>
          </a:ln>
          <a:effectLst/>
        </c:spPr>
      </c:pivotFmt>
      <c:pivotFmt>
        <c:idx val="144"/>
        <c:spPr>
          <a:solidFill>
            <a:schemeClr val="accent2"/>
          </a:solidFill>
          <a:ln>
            <a:noFill/>
          </a:ln>
          <a:effectLst/>
        </c:spPr>
      </c:pivotFmt>
      <c:pivotFmt>
        <c:idx val="145"/>
        <c:spPr>
          <a:solidFill>
            <a:schemeClr val="accent2"/>
          </a:solidFill>
          <a:ln>
            <a:noFill/>
          </a:ln>
          <a:effectLst/>
        </c:spPr>
      </c:pivotFmt>
      <c:pivotFmt>
        <c:idx val="146"/>
        <c:spPr>
          <a:solidFill>
            <a:schemeClr val="accent2"/>
          </a:solidFill>
          <a:ln>
            <a:noFill/>
          </a:ln>
          <a:effectLst/>
        </c:spPr>
      </c:pivotFmt>
      <c:pivotFmt>
        <c:idx val="147"/>
        <c:spPr>
          <a:solidFill>
            <a:schemeClr val="accent2"/>
          </a:solidFill>
          <a:ln>
            <a:noFill/>
          </a:ln>
          <a:effectLst/>
        </c:spPr>
      </c:pivotFmt>
      <c:pivotFmt>
        <c:idx val="148"/>
        <c:spPr>
          <a:solidFill>
            <a:schemeClr val="accent2"/>
          </a:solidFill>
          <a:ln>
            <a:noFill/>
          </a:ln>
          <a:effectLst/>
        </c:spPr>
      </c:pivotFmt>
      <c:pivotFmt>
        <c:idx val="149"/>
        <c:spPr>
          <a:solidFill>
            <a:schemeClr val="accent2"/>
          </a:solidFill>
          <a:ln>
            <a:noFill/>
          </a:ln>
          <a:effectLst/>
        </c:spPr>
      </c:pivotFmt>
      <c:pivotFmt>
        <c:idx val="150"/>
        <c:spPr>
          <a:solidFill>
            <a:schemeClr val="accent2"/>
          </a:solidFill>
          <a:ln>
            <a:noFill/>
          </a:ln>
          <a:effectLst/>
        </c:spPr>
      </c:pivotFmt>
      <c:pivotFmt>
        <c:idx val="151"/>
        <c:spPr>
          <a:solidFill>
            <a:schemeClr val="accent2"/>
          </a:solidFill>
          <a:ln>
            <a:noFill/>
          </a:ln>
          <a:effectLst/>
        </c:spPr>
      </c:pivotFmt>
      <c:pivotFmt>
        <c:idx val="152"/>
        <c:spPr>
          <a:solidFill>
            <a:schemeClr val="accent2"/>
          </a:solidFill>
          <a:ln>
            <a:noFill/>
          </a:ln>
          <a:effectLst/>
        </c:spPr>
      </c:pivotFmt>
      <c:pivotFmt>
        <c:idx val="153"/>
        <c:spPr>
          <a:solidFill>
            <a:schemeClr val="accent2"/>
          </a:solidFill>
          <a:ln>
            <a:noFill/>
          </a:ln>
          <a:effectLst/>
        </c:spPr>
      </c:pivotFmt>
      <c:pivotFmt>
        <c:idx val="154"/>
        <c:spPr>
          <a:solidFill>
            <a:schemeClr val="accent2"/>
          </a:solidFill>
          <a:ln>
            <a:noFill/>
          </a:ln>
          <a:effectLst/>
        </c:spPr>
      </c:pivotFmt>
      <c:pivotFmt>
        <c:idx val="155"/>
        <c:spPr>
          <a:solidFill>
            <a:schemeClr val="accent2"/>
          </a:solidFill>
          <a:ln>
            <a:noFill/>
          </a:ln>
          <a:effectLst/>
        </c:spPr>
      </c:pivotFmt>
      <c:pivotFmt>
        <c:idx val="156"/>
        <c:spPr>
          <a:solidFill>
            <a:schemeClr val="accent2"/>
          </a:solidFill>
          <a:ln>
            <a:noFill/>
          </a:ln>
          <a:effectLst/>
        </c:spPr>
      </c:pivotFmt>
      <c:pivotFmt>
        <c:idx val="157"/>
        <c:spPr>
          <a:solidFill>
            <a:schemeClr val="accent2"/>
          </a:solidFill>
          <a:ln>
            <a:noFill/>
          </a:ln>
          <a:effectLst/>
        </c:spPr>
      </c:pivotFmt>
      <c:pivotFmt>
        <c:idx val="158"/>
        <c:spPr>
          <a:solidFill>
            <a:schemeClr val="accent2"/>
          </a:solidFill>
          <a:ln>
            <a:noFill/>
          </a:ln>
          <a:effectLst/>
        </c:spPr>
      </c:pivotFmt>
      <c:pivotFmt>
        <c:idx val="159"/>
        <c:spPr>
          <a:solidFill>
            <a:schemeClr val="accent2"/>
          </a:solidFill>
          <a:ln>
            <a:noFill/>
          </a:ln>
          <a:effectLst/>
        </c:spPr>
      </c:pivotFmt>
      <c:pivotFmt>
        <c:idx val="160"/>
        <c:spPr>
          <a:solidFill>
            <a:schemeClr val="accent2"/>
          </a:solidFill>
          <a:ln>
            <a:noFill/>
          </a:ln>
          <a:effectLst/>
        </c:spPr>
      </c:pivotFmt>
      <c:pivotFmt>
        <c:idx val="161"/>
        <c:spPr>
          <a:solidFill>
            <a:schemeClr val="accent2"/>
          </a:solidFill>
          <a:ln>
            <a:noFill/>
          </a:ln>
          <a:effectLst/>
        </c:spPr>
      </c:pivotFmt>
      <c:pivotFmt>
        <c:idx val="162"/>
        <c:spPr>
          <a:solidFill>
            <a:schemeClr val="accent2"/>
          </a:solidFill>
          <a:ln>
            <a:noFill/>
          </a:ln>
          <a:effectLst/>
        </c:spPr>
      </c:pivotFmt>
      <c:pivotFmt>
        <c:idx val="163"/>
        <c:spPr>
          <a:solidFill>
            <a:schemeClr val="accent2"/>
          </a:solidFill>
          <a:ln>
            <a:noFill/>
          </a:ln>
          <a:effectLst/>
        </c:spPr>
      </c:pivotFmt>
      <c:pivotFmt>
        <c:idx val="164"/>
        <c:spPr>
          <a:solidFill>
            <a:schemeClr val="accent2"/>
          </a:solidFill>
          <a:ln>
            <a:noFill/>
          </a:ln>
          <a:effectLst/>
        </c:spPr>
      </c:pivotFmt>
      <c:pivotFmt>
        <c:idx val="165"/>
        <c:spPr>
          <a:solidFill>
            <a:schemeClr val="accent2"/>
          </a:solidFill>
          <a:ln>
            <a:noFill/>
          </a:ln>
          <a:effectLst/>
        </c:spPr>
      </c:pivotFmt>
      <c:pivotFmt>
        <c:idx val="166"/>
        <c:spPr>
          <a:solidFill>
            <a:schemeClr val="accent2"/>
          </a:solidFill>
          <a:ln>
            <a:noFill/>
          </a:ln>
          <a:effectLst/>
        </c:spPr>
      </c:pivotFmt>
      <c:pivotFmt>
        <c:idx val="167"/>
        <c:spPr>
          <a:solidFill>
            <a:schemeClr val="accent2"/>
          </a:solidFill>
          <a:ln>
            <a:noFill/>
          </a:ln>
          <a:effectLst/>
        </c:spPr>
      </c:pivotFmt>
      <c:pivotFmt>
        <c:idx val="168"/>
        <c:spPr>
          <a:solidFill>
            <a:schemeClr val="accent2"/>
          </a:solidFill>
          <a:ln>
            <a:noFill/>
          </a:ln>
          <a:effectLst/>
        </c:spPr>
      </c:pivotFmt>
      <c:pivotFmt>
        <c:idx val="169"/>
        <c:spPr>
          <a:solidFill>
            <a:schemeClr val="accent2"/>
          </a:solidFill>
          <a:ln>
            <a:noFill/>
          </a:ln>
          <a:effectLst/>
        </c:spPr>
      </c:pivotFmt>
      <c:pivotFmt>
        <c:idx val="170"/>
        <c:spPr>
          <a:solidFill>
            <a:schemeClr val="accent2"/>
          </a:solidFill>
          <a:ln>
            <a:noFill/>
          </a:ln>
          <a:effectLst/>
        </c:spPr>
      </c:pivotFmt>
      <c:pivotFmt>
        <c:idx val="171"/>
        <c:spPr>
          <a:solidFill>
            <a:schemeClr val="accent2"/>
          </a:solidFill>
          <a:ln>
            <a:noFill/>
          </a:ln>
          <a:effectLst/>
        </c:spPr>
      </c:pivotFmt>
      <c:pivotFmt>
        <c:idx val="172"/>
        <c:spPr>
          <a:solidFill>
            <a:schemeClr val="accent2"/>
          </a:solidFill>
          <a:ln>
            <a:noFill/>
          </a:ln>
          <a:effectLst/>
        </c:spPr>
      </c:pivotFmt>
      <c:pivotFmt>
        <c:idx val="173"/>
        <c:spPr>
          <a:solidFill>
            <a:schemeClr val="accent2"/>
          </a:solidFill>
          <a:ln>
            <a:noFill/>
          </a:ln>
          <a:effectLst/>
        </c:spPr>
      </c:pivotFmt>
      <c:pivotFmt>
        <c:idx val="174"/>
        <c:spPr>
          <a:solidFill>
            <a:schemeClr val="accent2"/>
          </a:solidFill>
          <a:ln>
            <a:noFill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numFmt formatCode="&quot;R$&quot;\ #,##0.00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2"/>
          </a:solidFill>
          <a:ln>
            <a:noFill/>
          </a:ln>
          <a:effectLst/>
        </c:spPr>
      </c:pivotFmt>
      <c:pivotFmt>
        <c:idx val="176"/>
        <c:spPr>
          <a:solidFill>
            <a:schemeClr val="accent2"/>
          </a:solidFill>
          <a:ln>
            <a:noFill/>
          </a:ln>
          <a:effectLst/>
        </c:spPr>
      </c:pivotFmt>
      <c:pivotFmt>
        <c:idx val="177"/>
        <c:spPr>
          <a:solidFill>
            <a:schemeClr val="accent2"/>
          </a:solidFill>
          <a:ln>
            <a:noFill/>
          </a:ln>
          <a:effectLst/>
        </c:spPr>
      </c:pivotFmt>
      <c:pivotFmt>
        <c:idx val="178"/>
        <c:spPr>
          <a:solidFill>
            <a:schemeClr val="accent2"/>
          </a:solidFill>
          <a:ln>
            <a:noFill/>
          </a:ln>
          <a:effectLst/>
        </c:spPr>
      </c:pivotFmt>
      <c:pivotFmt>
        <c:idx val="179"/>
        <c:spPr>
          <a:solidFill>
            <a:schemeClr val="accent2"/>
          </a:solidFill>
          <a:ln>
            <a:noFill/>
          </a:ln>
          <a:effectLst/>
        </c:spPr>
      </c:pivotFmt>
      <c:pivotFmt>
        <c:idx val="180"/>
      </c:pivotFmt>
      <c:pivotFmt>
        <c:idx val="181"/>
      </c:pivotFmt>
      <c:pivotFmt>
        <c:idx val="182"/>
      </c:pivotFmt>
      <c:pivotFmt>
        <c:idx val="183"/>
        <c:spPr>
          <a:solidFill>
            <a:schemeClr val="accent2"/>
          </a:solidFill>
          <a:ln>
            <a:noFill/>
          </a:ln>
          <a:effectLst/>
        </c:spPr>
      </c:pivotFmt>
      <c:pivotFmt>
        <c:idx val="184"/>
        <c:spPr>
          <a:solidFill>
            <a:schemeClr val="accent2"/>
          </a:solidFill>
          <a:ln>
            <a:noFill/>
          </a:ln>
          <a:effectLst/>
        </c:spPr>
      </c:pivotFmt>
      <c:pivotFmt>
        <c:idx val="185"/>
        <c:spPr>
          <a:solidFill>
            <a:schemeClr val="accent2"/>
          </a:solidFill>
          <a:ln>
            <a:noFill/>
          </a:ln>
          <a:effectLst/>
        </c:spPr>
      </c:pivotFmt>
      <c:pivotFmt>
        <c:idx val="18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87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</c:marker>
      </c:pivotFmt>
      <c:pivotFmt>
        <c:idx val="188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</c:marker>
      </c:pivotFmt>
      <c:pivotFmt>
        <c:idx val="18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</c:marker>
      </c:pivotFmt>
      <c:pivotFmt>
        <c:idx val="190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</c:marker>
      </c:pivotFmt>
      <c:pivotFmt>
        <c:idx val="19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Entregue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98-4351-B3B6-AABEBA6B9B02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98-4351-B3B6-AABEBA6B9B02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D98-4351-B3B6-AABEBA6B9B02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D98-4351-B3B6-AABEBA6B9B0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2D98-4351-B3B6-AABEBA6B9B02}"/>
              </c:ext>
            </c:extLst>
          </c:dPt>
          <c:cat>
            <c:strLit>
              <c:ptCount val="27"/>
              <c:pt idx="0">
                <c:v>jan
2024</c:v>
              </c:pt>
              <c:pt idx="1">
                <c:v>fev
2024</c:v>
              </c:pt>
              <c:pt idx="2">
                <c:v>mar
2024</c:v>
              </c:pt>
              <c:pt idx="3">
                <c:v>abr
2024</c:v>
              </c:pt>
              <c:pt idx="4">
                <c:v>mai
2024</c:v>
              </c:pt>
              <c:pt idx="5">
                <c:v>jun
2024</c:v>
              </c:pt>
              <c:pt idx="6">
                <c:v>jul
2024</c:v>
              </c:pt>
              <c:pt idx="7">
                <c:v>ago
2024</c:v>
              </c:pt>
              <c:pt idx="8">
                <c:v>set
2024</c:v>
              </c:pt>
              <c:pt idx="9">
                <c:v>out
2024</c:v>
              </c:pt>
              <c:pt idx="10">
                <c:v>nov
2024</c:v>
              </c:pt>
              <c:pt idx="11">
                <c:v>dez
2024</c:v>
              </c:pt>
              <c:pt idx="12">
                <c:v>jan
2025</c:v>
              </c:pt>
              <c:pt idx="13">
                <c:v>fev
2025</c:v>
              </c:pt>
              <c:pt idx="14">
                <c:v>mar
2025</c:v>
              </c:pt>
              <c:pt idx="15">
                <c:v>abr
2025</c:v>
              </c:pt>
              <c:pt idx="16">
                <c:v>mai
2025</c:v>
              </c:pt>
              <c:pt idx="17">
                <c:v>jun
2025</c:v>
              </c:pt>
              <c:pt idx="18">
                <c:v>jul
2025</c:v>
              </c:pt>
              <c:pt idx="19">
                <c:v>ago
2025</c:v>
              </c:pt>
              <c:pt idx="20">
                <c:v>set
2025</c:v>
              </c:pt>
              <c:pt idx="21">
                <c:v>out
2025</c:v>
              </c:pt>
              <c:pt idx="22">
                <c:v>nov
2025</c:v>
              </c:pt>
              <c:pt idx="23">
                <c:v>dez
2025</c:v>
              </c:pt>
              <c:pt idx="24">
                <c:v>jan
2026</c:v>
              </c:pt>
              <c:pt idx="25">
                <c:v>fev
2026</c:v>
              </c:pt>
              <c:pt idx="26">
                <c:v>mar
2026</c:v>
              </c:pt>
            </c:strLit>
          </c:cat>
          <c:val>
            <c:numLit>
              <c:formatCode>General</c:formatCode>
              <c:ptCount val="27"/>
              <c:pt idx="0">
                <c:v>606.66</c:v>
              </c:pt>
              <c:pt idx="1">
                <c:v>1682.42</c:v>
              </c:pt>
              <c:pt idx="2">
                <c:v>3644.1</c:v>
              </c:pt>
              <c:pt idx="3">
                <c:v>6531.04</c:v>
              </c:pt>
              <c:pt idx="4">
                <c:v>4676.1899999999996</c:v>
              </c:pt>
              <c:pt idx="5">
                <c:v>4934.29</c:v>
              </c:pt>
              <c:pt idx="6">
                <c:v>495.04</c:v>
              </c:pt>
              <c:pt idx="7">
                <c:v>144.54</c:v>
              </c:pt>
              <c:pt idx="8">
                <c:v>4443.1400000000003</c:v>
              </c:pt>
              <c:pt idx="9">
                <c:v>284.72000000000003</c:v>
              </c:pt>
              <c:pt idx="10">
                <c:v>622.66999999999996</c:v>
              </c:pt>
              <c:pt idx="11">
                <c:v>1305.04</c:v>
              </c:pt>
              <c:pt idx="12">
                <c:v>8959.39</c:v>
              </c:pt>
              <c:pt idx="13">
                <c:v>1035.69</c:v>
              </c:pt>
              <c:pt idx="14">
                <c:v>5078.76</c:v>
              </c:pt>
              <c:pt idx="15">
                <c:v>1357.67</c:v>
              </c:pt>
              <c:pt idx="16">
                <c:v>1007.73</c:v>
              </c:pt>
              <c:pt idx="17">
                <c:v>1653.56</c:v>
              </c:pt>
              <c:pt idx="18">
                <c:v>1232.1199999999999</c:v>
              </c:pt>
              <c:pt idx="19">
                <c:v>1832.36</c:v>
              </c:pt>
              <c:pt idx="20">
                <c:v>2889.23</c:v>
              </c:pt>
              <c:pt idx="21">
                <c:v>1619.83</c:v>
              </c:pt>
              <c:pt idx="22">
                <c:v>3961.24</c:v>
              </c:pt>
              <c:pt idx="23">
                <c:v>267.27999999999997</c:v>
              </c:pt>
              <c:pt idx="24">
                <c:v>1902.74</c:v>
              </c:pt>
              <c:pt idx="25">
                <c:v>551.26</c:v>
              </c:pt>
              <c:pt idx="26">
                <c:v>1178.96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183-B7B7-4C87-982E-BC58FF8C7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650287"/>
        <c:axId val="297586639"/>
      </c:lineChart>
      <c:catAx>
        <c:axId val="73465028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7586639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758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4650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[Gestão de Anúncio - Mercado Livre.xlsm]PivotChartTable1</c15:name>
        <c15:fmtId val="0"/>
      </c15:pivotSource>
      <c15:pivotOptions>
        <c15:dropZoneFilter val="1"/>
        <c15:dropZoneCatego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[Gestão de Anúncio - Mercado Livre.xlsm]Resumo!Tabela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3442884856784209E-2"/>
          <c:y val="7.399293339327527E-2"/>
          <c:w val="0.84529332482088404"/>
          <c:h val="0.7957712640278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Resumo!$K$254:$K$255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Resumo!$J$256:$J$274</c:f>
              <c:strCache>
                <c:ptCount val="18"/>
                <c:pt idx="0">
                  <c:v>BA</c:v>
                </c:pt>
                <c:pt idx="1">
                  <c:v>CE</c:v>
                </c:pt>
                <c:pt idx="2">
                  <c:v>ES</c:v>
                </c:pt>
                <c:pt idx="3">
                  <c:v>GO</c:v>
                </c:pt>
                <c:pt idx="4">
                  <c:v>MA</c:v>
                </c:pt>
                <c:pt idx="5">
                  <c:v>MG</c:v>
                </c:pt>
                <c:pt idx="6">
                  <c:v>MS</c:v>
                </c:pt>
                <c:pt idx="7">
                  <c:v>MT</c:v>
                </c:pt>
                <c:pt idx="8">
                  <c:v>PA</c:v>
                </c:pt>
                <c:pt idx="9">
                  <c:v>PE</c:v>
                </c:pt>
                <c:pt idx="10">
                  <c:v>PI</c:v>
                </c:pt>
                <c:pt idx="11">
                  <c:v>PR</c:v>
                </c:pt>
                <c:pt idx="12">
                  <c:v>RJ</c:v>
                </c:pt>
                <c:pt idx="13">
                  <c:v>RN</c:v>
                </c:pt>
                <c:pt idx="14">
                  <c:v>RO</c:v>
                </c:pt>
                <c:pt idx="15">
                  <c:v>RS</c:v>
                </c:pt>
                <c:pt idx="16">
                  <c:v>SC</c:v>
                </c:pt>
                <c:pt idx="17">
                  <c:v>SP</c:v>
                </c:pt>
              </c:strCache>
            </c:strRef>
          </c:cat>
          <c:val>
            <c:numRef>
              <c:f>Resumo!$K$256:$K$274</c:f>
              <c:numCache>
                <c:formatCode>General</c:formatCode>
                <c:ptCount val="18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  <c:pt idx="12">
                  <c:v>14</c:v>
                </c:pt>
                <c:pt idx="13">
                  <c:v>1</c:v>
                </c:pt>
                <c:pt idx="14">
                  <c:v>1</c:v>
                </c:pt>
                <c:pt idx="15">
                  <c:v>7</c:v>
                </c:pt>
                <c:pt idx="16">
                  <c:v>7</c:v>
                </c:pt>
                <c:pt idx="17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B-4B60-8851-7244B2F673A0}"/>
            </c:ext>
          </c:extLst>
        </c:ser>
        <c:ser>
          <c:idx val="1"/>
          <c:order val="1"/>
          <c:tx>
            <c:strRef>
              <c:f>Resumo!$L$254:$L$255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Resumo!$J$256:$J$274</c:f>
              <c:strCache>
                <c:ptCount val="18"/>
                <c:pt idx="0">
                  <c:v>BA</c:v>
                </c:pt>
                <c:pt idx="1">
                  <c:v>CE</c:v>
                </c:pt>
                <c:pt idx="2">
                  <c:v>ES</c:v>
                </c:pt>
                <c:pt idx="3">
                  <c:v>GO</c:v>
                </c:pt>
                <c:pt idx="4">
                  <c:v>MA</c:v>
                </c:pt>
                <c:pt idx="5">
                  <c:v>MG</c:v>
                </c:pt>
                <c:pt idx="6">
                  <c:v>MS</c:v>
                </c:pt>
                <c:pt idx="7">
                  <c:v>MT</c:v>
                </c:pt>
                <c:pt idx="8">
                  <c:v>PA</c:v>
                </c:pt>
                <c:pt idx="9">
                  <c:v>PE</c:v>
                </c:pt>
                <c:pt idx="10">
                  <c:v>PI</c:v>
                </c:pt>
                <c:pt idx="11">
                  <c:v>PR</c:v>
                </c:pt>
                <c:pt idx="12">
                  <c:v>RJ</c:v>
                </c:pt>
                <c:pt idx="13">
                  <c:v>RN</c:v>
                </c:pt>
                <c:pt idx="14">
                  <c:v>RO</c:v>
                </c:pt>
                <c:pt idx="15">
                  <c:v>RS</c:v>
                </c:pt>
                <c:pt idx="16">
                  <c:v>SC</c:v>
                </c:pt>
                <c:pt idx="17">
                  <c:v>SP</c:v>
                </c:pt>
              </c:strCache>
            </c:strRef>
          </c:cat>
          <c:val>
            <c:numRef>
              <c:f>Resumo!$L$256:$L$274</c:f>
              <c:numCache>
                <c:formatCode>General</c:formatCode>
                <c:ptCount val="18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15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1">
                  <c:v>6</c:v>
                </c:pt>
                <c:pt idx="12">
                  <c:v>7</c:v>
                </c:pt>
                <c:pt idx="15">
                  <c:v>6</c:v>
                </c:pt>
                <c:pt idx="16">
                  <c:v>2</c:v>
                </c:pt>
                <c:pt idx="17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2B-4B60-8851-7244B2F673A0}"/>
            </c:ext>
          </c:extLst>
        </c:ser>
        <c:ser>
          <c:idx val="2"/>
          <c:order val="2"/>
          <c:tx>
            <c:strRef>
              <c:f>Resumo!$M$254:$M$255</c:f>
              <c:strCache>
                <c:ptCount val="1"/>
                <c:pt idx="0">
                  <c:v>2026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Resumo!$J$256:$J$274</c:f>
              <c:strCache>
                <c:ptCount val="18"/>
                <c:pt idx="0">
                  <c:v>BA</c:v>
                </c:pt>
                <c:pt idx="1">
                  <c:v>CE</c:v>
                </c:pt>
                <c:pt idx="2">
                  <c:v>ES</c:v>
                </c:pt>
                <c:pt idx="3">
                  <c:v>GO</c:v>
                </c:pt>
                <c:pt idx="4">
                  <c:v>MA</c:v>
                </c:pt>
                <c:pt idx="5">
                  <c:v>MG</c:v>
                </c:pt>
                <c:pt idx="6">
                  <c:v>MS</c:v>
                </c:pt>
                <c:pt idx="7">
                  <c:v>MT</c:v>
                </c:pt>
                <c:pt idx="8">
                  <c:v>PA</c:v>
                </c:pt>
                <c:pt idx="9">
                  <c:v>PE</c:v>
                </c:pt>
                <c:pt idx="10">
                  <c:v>PI</c:v>
                </c:pt>
                <c:pt idx="11">
                  <c:v>PR</c:v>
                </c:pt>
                <c:pt idx="12">
                  <c:v>RJ</c:v>
                </c:pt>
                <c:pt idx="13">
                  <c:v>RN</c:v>
                </c:pt>
                <c:pt idx="14">
                  <c:v>RO</c:v>
                </c:pt>
                <c:pt idx="15">
                  <c:v>RS</c:v>
                </c:pt>
                <c:pt idx="16">
                  <c:v>SC</c:v>
                </c:pt>
                <c:pt idx="17">
                  <c:v>SP</c:v>
                </c:pt>
              </c:strCache>
            </c:strRef>
          </c:cat>
          <c:val>
            <c:numRef>
              <c:f>Resumo!$M$256:$M$274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3">
                  <c:v>1</c:v>
                </c:pt>
                <c:pt idx="5">
                  <c:v>3</c:v>
                </c:pt>
                <c:pt idx="11">
                  <c:v>1</c:v>
                </c:pt>
                <c:pt idx="12">
                  <c:v>2</c:v>
                </c:pt>
                <c:pt idx="15">
                  <c:v>1</c:v>
                </c:pt>
                <c:pt idx="1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3-42FE-925B-3733FB727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09328"/>
        <c:axId val="304527152"/>
      </c:barChart>
      <c:catAx>
        <c:axId val="21910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4527152"/>
        <c:crosses val="autoZero"/>
        <c:auto val="1"/>
        <c:lblAlgn val="ctr"/>
        <c:lblOffset val="100"/>
        <c:noMultiLvlLbl val="0"/>
      </c:catAx>
      <c:valAx>
        <c:axId val="30452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910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hart" Target="../charts/chart3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www.mercadolivre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www.mercadolivre.com.br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</xdr:row>
      <xdr:rowOff>21772</xdr:rowOff>
    </xdr:from>
    <xdr:to>
      <xdr:col>1</xdr:col>
      <xdr:colOff>952500</xdr:colOff>
      <xdr:row>2</xdr:row>
      <xdr:rowOff>1272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21772"/>
          <a:ext cx="857250" cy="344257"/>
        </a:xfrm>
        <a:prstGeom prst="rect">
          <a:avLst/>
        </a:prstGeom>
      </xdr:spPr>
    </xdr:pic>
    <xdr:clientData/>
  </xdr:twoCellAnchor>
  <xdr:twoCellAnchor>
    <xdr:from>
      <xdr:col>8</xdr:col>
      <xdr:colOff>936110</xdr:colOff>
      <xdr:row>7</xdr:row>
      <xdr:rowOff>65556</xdr:rowOff>
    </xdr:from>
    <xdr:to>
      <xdr:col>12</xdr:col>
      <xdr:colOff>1251673</xdr:colOff>
      <xdr:row>20</xdr:row>
      <xdr:rowOff>268942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85163</xdr:colOff>
      <xdr:row>7</xdr:row>
      <xdr:rowOff>25213</xdr:rowOff>
    </xdr:from>
    <xdr:to>
      <xdr:col>5</xdr:col>
      <xdr:colOff>260190</xdr:colOff>
      <xdr:row>20</xdr:row>
      <xdr:rowOff>212912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12</xdr:col>
      <xdr:colOff>213820</xdr:colOff>
      <xdr:row>1</xdr:row>
      <xdr:rowOff>87228</xdr:rowOff>
    </xdr:from>
    <xdr:ext cx="222570" cy="223838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4996" y="141016"/>
          <a:ext cx="222570" cy="223838"/>
        </a:xfrm>
        <a:prstGeom prst="rect">
          <a:avLst/>
        </a:prstGeom>
      </xdr:spPr>
    </xdr:pic>
    <xdr:clientData/>
  </xdr:oneCellAnchor>
  <xdr:twoCellAnchor>
    <xdr:from>
      <xdr:col>5</xdr:col>
      <xdr:colOff>251012</xdr:colOff>
      <xdr:row>7</xdr:row>
      <xdr:rowOff>49026</xdr:rowOff>
    </xdr:from>
    <xdr:to>
      <xdr:col>8</xdr:col>
      <xdr:colOff>941293</xdr:colOff>
      <xdr:row>20</xdr:row>
      <xdr:rowOff>212914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1114425</xdr:colOff>
          <xdr:row>23</xdr:row>
          <xdr:rowOff>85725</xdr:rowOff>
        </xdr:from>
        <xdr:to>
          <xdr:col>2</xdr:col>
          <xdr:colOff>866775</xdr:colOff>
          <xdr:row>23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1238250</xdr:colOff>
          <xdr:row>23</xdr:row>
          <xdr:rowOff>76200</xdr:rowOff>
        </xdr:from>
        <xdr:to>
          <xdr:col>4</xdr:col>
          <xdr:colOff>933450</xdr:colOff>
          <xdr:row>23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6</xdr:row>
          <xdr:rowOff>171450</xdr:rowOff>
        </xdr:from>
        <xdr:to>
          <xdr:col>1</xdr:col>
          <xdr:colOff>600075</xdr:colOff>
          <xdr:row>6</xdr:row>
          <xdr:rowOff>361950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171450</xdr:colOff>
      <xdr:row>1</xdr:row>
      <xdr:rowOff>0</xdr:rowOff>
    </xdr:from>
    <xdr:to>
      <xdr:col>1</xdr:col>
      <xdr:colOff>133350</xdr:colOff>
      <xdr:row>1</xdr:row>
      <xdr:rowOff>370800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1450" y="104775"/>
          <a:ext cx="180975" cy="370800"/>
        </a:xfrm>
        <a:prstGeom prst="roundRect">
          <a:avLst>
            <a:gd name="adj" fmla="val 28515"/>
          </a:avLst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1156447</xdr:colOff>
      <xdr:row>1</xdr:row>
      <xdr:rowOff>0</xdr:rowOff>
    </xdr:from>
    <xdr:to>
      <xdr:col>13</xdr:col>
      <xdr:colOff>101290</xdr:colOff>
      <xdr:row>1</xdr:row>
      <xdr:rowOff>363180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4827623" y="53788"/>
          <a:ext cx="253691" cy="363180"/>
        </a:xfrm>
        <a:prstGeom prst="roundRect">
          <a:avLst>
            <a:gd name="adj" fmla="val 28515"/>
          </a:avLst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1</xdr:row>
      <xdr:rowOff>28576</xdr:rowOff>
    </xdr:from>
    <xdr:to>
      <xdr:col>0</xdr:col>
      <xdr:colOff>918376</xdr:colOff>
      <xdr:row>2</xdr:row>
      <xdr:rowOff>1358</xdr:rowOff>
    </xdr:to>
    <xdr:pic>
      <xdr:nvPicPr>
        <xdr:cNvPr id="5" name="Imagem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6"/>
          <a:ext cx="857250" cy="344257"/>
        </a:xfrm>
        <a:prstGeom prst="rect">
          <a:avLst/>
        </a:prstGeom>
      </xdr:spPr>
    </xdr:pic>
    <xdr:clientData/>
  </xdr:twoCellAnchor>
  <xdr:twoCellAnchor editAs="oneCell">
    <xdr:from>
      <xdr:col>8</xdr:col>
      <xdr:colOff>88441</xdr:colOff>
      <xdr:row>1</xdr:row>
      <xdr:rowOff>80188</xdr:rowOff>
    </xdr:from>
    <xdr:to>
      <xdr:col>8</xdr:col>
      <xdr:colOff>309106</xdr:colOff>
      <xdr:row>1</xdr:row>
      <xdr:rowOff>304026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61091" y="80188"/>
          <a:ext cx="222570" cy="2238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1</xdr:row>
          <xdr:rowOff>19050</xdr:rowOff>
        </xdr:from>
        <xdr:to>
          <xdr:col>7</xdr:col>
          <xdr:colOff>447675</xdr:colOff>
          <xdr:row>1</xdr:row>
          <xdr:rowOff>342900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Localizar desconto expirado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47625</xdr:rowOff>
        </xdr:from>
        <xdr:to>
          <xdr:col>3</xdr:col>
          <xdr:colOff>714375</xdr:colOff>
          <xdr:row>1</xdr:row>
          <xdr:rowOff>342900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INSERIR ULTIMO ANÚNCIO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28576</xdr:rowOff>
    </xdr:from>
    <xdr:to>
      <xdr:col>1</xdr:col>
      <xdr:colOff>438150</xdr:colOff>
      <xdr:row>1</xdr:row>
      <xdr:rowOff>296633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576"/>
          <a:ext cx="857250" cy="344257"/>
        </a:xfrm>
        <a:prstGeom prst="rect">
          <a:avLst/>
        </a:prstGeom>
      </xdr:spPr>
    </xdr:pic>
    <xdr:clientData/>
  </xdr:twoCellAnchor>
  <xdr:twoCellAnchor editAs="oneCell">
    <xdr:from>
      <xdr:col>11</xdr:col>
      <xdr:colOff>3130</xdr:colOff>
      <xdr:row>1</xdr:row>
      <xdr:rowOff>96753</xdr:rowOff>
    </xdr:from>
    <xdr:to>
      <xdr:col>11</xdr:col>
      <xdr:colOff>225700</xdr:colOff>
      <xdr:row>1</xdr:row>
      <xdr:rowOff>320591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7905" y="96753"/>
          <a:ext cx="222570" cy="2238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0</xdr:row>
          <xdr:rowOff>47625</xdr:rowOff>
        </xdr:from>
        <xdr:to>
          <xdr:col>10</xdr:col>
          <xdr:colOff>57150</xdr:colOff>
          <xdr:row>2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🔍︎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9525</xdr:rowOff>
        </xdr:from>
        <xdr:to>
          <xdr:col>3</xdr:col>
          <xdr:colOff>285750</xdr:colOff>
          <xdr:row>2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INSERIR ANÚNCIO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9526</xdr:rowOff>
    </xdr:from>
    <xdr:to>
      <xdr:col>0</xdr:col>
      <xdr:colOff>918210</xdr:colOff>
      <xdr:row>0</xdr:row>
      <xdr:rowOff>346163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9526"/>
          <a:ext cx="857250" cy="344257"/>
        </a:xfrm>
        <a:prstGeom prst="rect">
          <a:avLst/>
        </a:prstGeom>
      </xdr:spPr>
    </xdr:pic>
    <xdr:clientData/>
  </xdr:twoCellAnchor>
  <xdr:oneCellAnchor>
    <xdr:from>
      <xdr:col>8</xdr:col>
      <xdr:colOff>1565230</xdr:colOff>
      <xdr:row>0</xdr:row>
      <xdr:rowOff>87228</xdr:rowOff>
    </xdr:from>
    <xdr:ext cx="222570" cy="223838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4955" y="87228"/>
          <a:ext cx="222570" cy="22383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1219200</xdr:colOff>
          <xdr:row>0</xdr:row>
          <xdr:rowOff>57150</xdr:rowOff>
        </xdr:from>
        <xdr:to>
          <xdr:col>1</xdr:col>
          <xdr:colOff>1143000</xdr:colOff>
          <xdr:row>1</xdr:row>
          <xdr:rowOff>9525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INSERIR VENDA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0</xdr:row>
          <xdr:rowOff>57150</xdr:rowOff>
        </xdr:from>
        <xdr:to>
          <xdr:col>3</xdr:col>
          <xdr:colOff>561975</xdr:colOff>
          <xdr:row>1</xdr:row>
          <xdr:rowOff>9525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Normalizar fonte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6</xdr:row>
          <xdr:rowOff>57150</xdr:rowOff>
        </xdr:from>
        <xdr:to>
          <xdr:col>9</xdr:col>
          <xdr:colOff>361950</xdr:colOff>
          <xdr:row>7</xdr:row>
          <xdr:rowOff>161925</xdr:rowOff>
        </xdr:to>
        <xdr:sp macro="" textlink="">
          <xdr:nvSpPr>
            <xdr:cNvPr id="5128" name="CommandButton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3</xdr:row>
          <xdr:rowOff>114300</xdr:rowOff>
        </xdr:from>
        <xdr:to>
          <xdr:col>10</xdr:col>
          <xdr:colOff>114300</xdr:colOff>
          <xdr:row>5</xdr:row>
          <xdr:rowOff>47625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Simular no</a:t>
              </a:r>
            </a:p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Mercado Livre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4</xdr:row>
          <xdr:rowOff>66675</xdr:rowOff>
        </xdr:from>
        <xdr:to>
          <xdr:col>2</xdr:col>
          <xdr:colOff>381000</xdr:colOff>
          <xdr:row>5</xdr:row>
          <xdr:rowOff>28575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🔄️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15240</xdr:colOff>
      <xdr:row>0</xdr:row>
      <xdr:rowOff>38100</xdr:rowOff>
    </xdr:from>
    <xdr:to>
      <xdr:col>0</xdr:col>
      <xdr:colOff>866775</xdr:colOff>
      <xdr:row>1</xdr:row>
      <xdr:rowOff>8977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" y="38100"/>
          <a:ext cx="851535" cy="336637"/>
        </a:xfrm>
        <a:prstGeom prst="rect">
          <a:avLst/>
        </a:prstGeom>
      </xdr:spPr>
    </xdr:pic>
    <xdr:clientData/>
  </xdr:twoCellAnchor>
  <xdr:twoCellAnchor editAs="oneCell">
    <xdr:from>
      <xdr:col>18</xdr:col>
      <xdr:colOff>467950</xdr:colOff>
      <xdr:row>0</xdr:row>
      <xdr:rowOff>81513</xdr:rowOff>
    </xdr:from>
    <xdr:to>
      <xdr:col>19</xdr:col>
      <xdr:colOff>65680</xdr:colOff>
      <xdr:row>0</xdr:row>
      <xdr:rowOff>305351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0310" y="81513"/>
          <a:ext cx="222570" cy="2238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gimar" refreshedDate="46147.522068865743" createdVersion="6" refreshedVersion="6" minRefreshableVersion="3" recordCount="184" xr:uid="{FE4EB3A9-FCE3-449E-82A9-2C84F9F63926}">
  <cacheSource type="worksheet">
    <worksheetSource name="Vendas"/>
  </cacheSource>
  <cacheFields count="23">
    <cacheField name="Nº Venda" numFmtId="166">
      <sharedItems/>
    </cacheField>
    <cacheField name="Status" numFmtId="0">
      <sharedItems count="6">
        <s v="Entregue"/>
        <s v="Cancelada"/>
        <s v="Devolução"/>
        <s v="Reclamação"/>
        <s v="A caminho" u="1"/>
        <s v="Pronto para enviar" u="1"/>
      </sharedItems>
    </cacheField>
    <cacheField name="Data da Compra" numFmtId="165">
      <sharedItems containsSemiMixedTypes="0" containsNonDate="0" containsDate="1" containsString="0" minDate="2024-01-04T00:00:00" maxDate="2026-03-16T00:00:00" count="153">
        <d v="2026-03-15T00:00:00"/>
        <d v="2026-03-11T00:00:00"/>
        <d v="2026-03-08T00:00:00"/>
        <d v="2026-03-03T00:00:00"/>
        <d v="2026-03-02T00:00:00"/>
        <d v="2026-02-12T00:00:00"/>
        <d v="2026-02-07T00:00:00"/>
        <d v="2026-02-04T00:00:00"/>
        <d v="2026-02-01T00:00:00"/>
        <d v="2026-01-30T00:00:00"/>
        <d v="2026-01-28T00:00:00"/>
        <d v="2026-01-19T00:00:00"/>
        <d v="2026-01-14T00:00:00"/>
        <d v="2026-01-03T00:00:00"/>
        <d v="2025-12-26T00:00:00"/>
        <d v="2025-12-21T00:00:00"/>
        <d v="2025-12-09T00:00:00"/>
        <d v="2025-12-03T00:00:00"/>
        <d v="2025-11-26T00:00:00"/>
        <d v="2025-11-21T00:00:00"/>
        <d v="2025-11-19T00:00:00"/>
        <d v="2025-11-18T00:00:00"/>
        <d v="2025-11-17T00:00:00"/>
        <d v="2025-11-15T00:00:00"/>
        <d v="2025-11-14T00:00:00"/>
        <d v="2025-11-10T00:00:00"/>
        <d v="2025-10-31T00:00:00"/>
        <d v="2025-10-28T00:00:00"/>
        <d v="2025-10-27T00:00:00"/>
        <d v="2025-10-26T00:00:00"/>
        <d v="2025-10-21T00:00:00"/>
        <d v="2025-10-18T00:00:00"/>
        <d v="2025-10-13T00:00:00"/>
        <d v="2025-10-12T00:00:00"/>
        <d v="2025-10-05T00:00:00"/>
        <d v="2025-09-29T00:00:00"/>
        <d v="2025-09-24T00:00:00"/>
        <d v="2025-09-18T00:00:00"/>
        <d v="2025-09-16T00:00:00"/>
        <d v="2025-09-15T00:00:00"/>
        <d v="2025-09-10T00:00:00"/>
        <d v="2025-09-09T00:00:00"/>
        <d v="2025-09-06T00:00:00"/>
        <d v="2025-08-29T00:00:00"/>
        <d v="2025-08-24T00:00:00"/>
        <d v="2025-08-17T00:00:00"/>
        <d v="2025-08-16T00:00:00"/>
        <d v="2025-08-12T00:00:00"/>
        <d v="2025-08-08T00:00:00"/>
        <d v="2025-08-06T00:00:00"/>
        <d v="2025-07-31T00:00:00"/>
        <d v="2025-07-24T00:00:00"/>
        <d v="2025-07-16T00:00:00"/>
        <d v="2025-07-08T00:00:00"/>
        <d v="2025-07-05T00:00:00"/>
        <d v="2025-07-02T00:00:00"/>
        <d v="2025-06-30T00:00:00"/>
        <d v="2025-06-20T00:00:00"/>
        <d v="2025-06-12T00:00:00"/>
        <d v="2025-05-30T00:00:00"/>
        <d v="2025-05-19T00:00:00"/>
        <d v="2025-05-16T00:00:00"/>
        <d v="2025-04-24T00:00:00"/>
        <d v="2025-04-17T00:00:00"/>
        <d v="2025-04-15T00:00:00"/>
        <d v="2025-04-14T00:00:00"/>
        <d v="2025-04-04T00:00:00"/>
        <d v="2025-03-31T00:00:00"/>
        <d v="2025-03-19T00:00:00"/>
        <d v="2025-03-18T00:00:00"/>
        <d v="2025-03-16T00:00:00"/>
        <d v="2025-03-13T00:00:00"/>
        <d v="2025-03-12T00:00:00"/>
        <d v="2025-03-11T00:00:00"/>
        <d v="2025-03-06T00:00:00"/>
        <d v="2025-02-26T00:00:00"/>
        <d v="2025-02-20T00:00:00"/>
        <d v="2025-02-14T00:00:00"/>
        <d v="2025-02-13T00:00:00"/>
        <d v="2025-02-11T00:00:00"/>
        <d v="2025-02-03T00:00:00"/>
        <d v="2025-01-31T00:00:00"/>
        <d v="2025-01-27T00:00:00"/>
        <d v="2025-01-26T00:00:00"/>
        <d v="2025-01-22T00:00:00"/>
        <d v="2025-01-09T00:00:00"/>
        <d v="2025-01-08T00:00:00"/>
        <d v="2024-12-08T00:00:00"/>
        <d v="2024-11-27T00:00:00"/>
        <d v="2024-11-26T00:00:00"/>
        <d v="2024-11-01T00:00:00"/>
        <d v="2024-10-14T00:00:00"/>
        <d v="2024-09-26T00:00:00"/>
        <d v="2024-09-23T00:00:00"/>
        <d v="2024-09-20T00:00:00"/>
        <d v="2024-09-17T00:00:00"/>
        <d v="2024-09-16T00:00:00"/>
        <d v="2024-09-12T00:00:00"/>
        <d v="2024-09-10T00:00:00"/>
        <d v="2024-08-15T00:00:00"/>
        <d v="2024-08-03T00:00:00"/>
        <d v="2024-07-24T00:00:00"/>
        <d v="2024-07-09T00:00:00"/>
        <d v="2024-07-08T00:00:00"/>
        <d v="2024-06-24T00:00:00"/>
        <d v="2024-06-22T00:00:00"/>
        <d v="2024-06-21T00:00:00"/>
        <d v="2024-06-20T00:00:00"/>
        <d v="2024-06-18T00:00:00"/>
        <d v="2024-06-17T00:00:00"/>
        <d v="2024-06-16T00:00:00"/>
        <d v="2024-06-14T00:00:00"/>
        <d v="2024-06-13T00:00:00"/>
        <d v="2024-06-10T00:00:00"/>
        <d v="2024-06-08T00:00:00"/>
        <d v="2024-06-01T00:00:00"/>
        <d v="2024-05-29T00:00:00"/>
        <d v="2024-05-28T00:00:00"/>
        <d v="2024-05-26T00:00:00"/>
        <d v="2024-05-25T00:00:00"/>
        <d v="2024-05-24T00:00:00"/>
        <d v="2024-05-22T00:00:00"/>
        <d v="2024-05-18T00:00:00"/>
        <d v="2024-05-17T00:00:00"/>
        <d v="2024-05-14T00:00:00"/>
        <d v="2024-05-13T00:00:00"/>
        <d v="2024-05-12T00:00:00"/>
        <d v="2024-05-07T00:00:00"/>
        <d v="2024-05-06T00:00:00"/>
        <d v="2024-05-04T00:00:00"/>
        <d v="2024-04-26T00:00:00"/>
        <d v="2024-04-25T00:00:00"/>
        <d v="2024-04-23T00:00:00"/>
        <d v="2024-04-19T00:00:00"/>
        <d v="2024-04-18T00:00:00"/>
        <d v="2024-04-16T00:00:00"/>
        <d v="2024-04-14T00:00:00"/>
        <d v="2024-04-04T00:00:00"/>
        <d v="2024-04-03T00:00:00"/>
        <d v="2024-04-02T00:00:00"/>
        <d v="2024-03-27T00:00:00"/>
        <d v="2024-03-26T00:00:00"/>
        <d v="2024-03-21T00:00:00"/>
        <d v="2024-03-20T00:00:00"/>
        <d v="2024-03-19T00:00:00"/>
        <d v="2024-03-18T00:00:00"/>
        <d v="2024-03-15T00:00:00"/>
        <d v="2024-03-06T00:00:00"/>
        <d v="2024-03-04T00:00:00"/>
        <d v="2024-02-23T00:00:00"/>
        <d v="2024-02-20T00:00:00"/>
        <d v="2024-02-16T00:00:00"/>
        <d v="2024-01-04T00:00:00"/>
      </sharedItems>
      <fieldGroup par="22" base="2">
        <rangePr groupBy="months" startDate="2024-01-04T00:00:00" endDate="2026-03-16T00:00:00"/>
        <groupItems count="14">
          <s v="&lt;04/01/202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6/03/2026"/>
        </groupItems>
      </fieldGroup>
    </cacheField>
    <cacheField name="Nome do Produto" numFmtId="0">
      <sharedItems/>
    </cacheField>
    <cacheField name="Cód. do Produto" numFmtId="0">
      <sharedItems containsBlank="1"/>
    </cacheField>
    <cacheField name="Qtd" numFmtId="0">
      <sharedItems containsSemiMixedTypes="0" containsString="0" containsNumber="1" containsInteger="1" minValue="1" maxValue="6"/>
    </cacheField>
    <cacheField name="Preço unidade" numFmtId="164">
      <sharedItems containsSemiMixedTypes="0" containsString="0" containsNumber="1" minValue="9.99" maxValue="2469.59"/>
    </cacheField>
    <cacheField name="A receber" numFmtId="164">
      <sharedItems containsSemiMixedTypes="0" containsString="0" containsNumber="1" minValue="-2524.08" maxValue="4490.8500000000004"/>
    </cacheField>
    <cacheField name="Observação" numFmtId="0">
      <sharedItems containsBlank="1"/>
    </cacheField>
    <cacheField name="Nome/Razão Social" numFmtId="0">
      <sharedItems containsBlank="1"/>
    </cacheField>
    <cacheField name="CPF/CNPJ" numFmtId="49">
      <sharedItems containsBlank="1"/>
    </cacheField>
    <cacheField name="CEP" numFmtId="0">
      <sharedItems containsBlank="1"/>
    </cacheField>
    <cacheField name="Endereço completo" numFmtId="49">
      <sharedItems containsBlank="1"/>
    </cacheField>
    <cacheField name="Bairro/Distrito" numFmtId="0">
      <sharedItems containsBlank="1"/>
    </cacheField>
    <cacheField name="Município" numFmtId="0">
      <sharedItems containsBlank="1"/>
    </cacheField>
    <cacheField name="UF" numFmtId="0">
      <sharedItems containsBlank="1" count="21">
        <s v="SP"/>
        <s v="DF"/>
        <s v="GO"/>
        <s v="MG"/>
        <s v="RS"/>
        <s v="RJ"/>
        <s v="BA"/>
        <s v="PR"/>
        <s v="CE"/>
        <s v="MA"/>
        <s v="SC"/>
        <s v="PA"/>
        <s v="PE"/>
        <s v="MT"/>
        <s v="ES"/>
        <s v="MS"/>
        <m/>
        <s v="PI"/>
        <s v="RN"/>
        <s v="RO"/>
        <s v=" SP" u="1"/>
      </sharedItems>
    </cacheField>
    <cacheField name="Transportadora" numFmtId="0">
      <sharedItems containsBlank="1"/>
    </cacheField>
    <cacheField name="Código de Rastreio" numFmtId="0">
      <sharedItems containsBlank="1" containsMixedTypes="1" containsNumber="1" containsInteger="1" minValue="10751" maxValue="10805"/>
    </cacheField>
    <cacheField name="Data da Entrega" numFmtId="165">
      <sharedItems containsNonDate="0" containsDate="1" containsString="0" containsBlank="1" minDate="2024-02-20T00:00:00" maxDate="2026-03-19T00:00:00"/>
    </cacheField>
    <cacheField name="Nota Fiscal" numFmtId="0">
      <sharedItems containsBlank="1" containsMixedTypes="1" containsNumber="1" containsInteger="1" minValue="42" maxValue="10873"/>
    </cacheField>
    <cacheField name="Garantia" numFmtId="0">
      <sharedItems/>
    </cacheField>
    <cacheField name="Trimestres" numFmtId="0" databaseField="0">
      <fieldGroup base="2">
        <rangePr groupBy="quarters" startDate="2024-01-04T00:00:00" endDate="2026-03-16T00:00:00"/>
        <groupItems count="6">
          <s v="&lt;04/01/2024"/>
          <s v="Trim1"/>
          <s v="Trim2"/>
          <s v="Trim3"/>
          <s v="Trim4"/>
          <s v="&gt;16/03/2026"/>
        </groupItems>
      </fieldGroup>
    </cacheField>
    <cacheField name="Anos" numFmtId="0" databaseField="0">
      <fieldGroup base="2">
        <rangePr groupBy="years" startDate="2024-01-04T00:00:00" endDate="2026-03-16T00:00:00"/>
        <groupItems count="5">
          <s v="&lt;04/01/2024"/>
          <s v="2024"/>
          <s v="2025"/>
          <s v="2026"/>
          <s v="&gt;16/0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egimar" refreshedDate="46147.522050231484" backgroundQuery="1" createdVersion="6" refreshedVersion="6" minRefreshableVersion="3" recordCount="0" supportSubquery="1" supportAdvancedDrill="1" xr:uid="{41652CEE-5AC1-4673-8C56-C0459A4096B5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Vendas].[Status].[Status]" caption="Status" numFmtId="0" hierarchy="21" level="1">
      <sharedItems count="1">
        <s v="Entregue"/>
      </sharedItems>
    </cacheField>
    <cacheField name="[Vendas].[Data da Compra (Ano)].[Data da Compra (Ano)]" caption="Data da Compra (Ano)" numFmtId="0" hierarchy="29" level="1">
      <sharedItems count="3">
        <s v="2024"/>
        <s v="2025"/>
        <s v="2026"/>
      </sharedItems>
    </cacheField>
    <cacheField name="[Vendas].[Data da Compra (Mês)].[Data da Compra (Mês)]" caption="Data da Compra (Mês)" numFmtId="0" hierarchy="31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A receber]" caption="Soma de A receber" numFmtId="0" hierarchy="53" level="32767"/>
  </cacheFields>
  <cacheHierarchies count="56">
    <cacheHierarchy uniqueName="[Descontos].[Status]" caption="Status" attribute="1" defaultMemberUniqueName="[Descontos].[Status].[All]" allUniqueName="[Descontos].[Status].[All]" dimensionUniqueName="[Descontos]" displayFolder="" count="0" memberValueDatatype="130" unbalanced="0"/>
    <cacheHierarchy uniqueName="[Descontos].[Anúncio]" caption="Anúncio" attribute="1" defaultMemberUniqueName="[Descontos].[Anúncio].[All]" allUniqueName="[Descontos].[Anúncio].[All]" dimensionUniqueName="[Descontos]" displayFolder="" count="0" memberValueDatatype="130" unbalanced="0"/>
    <cacheHierarchy uniqueName="[Descontos].[Cód. do Produto]" caption="Cód. do Produto" attribute="1" defaultMemberUniqueName="[Descontos].[Cód. do Produto].[All]" allUniqueName="[Descontos].[Cód. do Produto].[All]" dimensionUniqueName="[Descontos]" displayFolder="" count="0" memberValueDatatype="130" unbalanced="0"/>
    <cacheHierarchy uniqueName="[Descontos].[Nome]" caption="Nome" attribute="1" defaultMemberUniqueName="[Descontos].[Nome].[All]" allUniqueName="[Descontos].[Nome].[All]" dimensionUniqueName="[Descontos]" displayFolder="" count="0" memberValueDatatype="130" unbalanced="0"/>
    <cacheHierarchy uniqueName="[Descontos].[Data Início]" caption="Data Início" attribute="1" time="1" defaultMemberUniqueName="[Descontos].[Data Início].[All]" allUniqueName="[Descontos].[Data Início].[All]" dimensionUniqueName="[Descontos]" displayFolder="" count="0" memberValueDatatype="7" unbalanced="0"/>
    <cacheHierarchy uniqueName="[Descontos].[Data Fim]" caption="Data Fim" attribute="1" time="1" defaultMemberUniqueName="[Descontos].[Data Fim].[All]" allUniqueName="[Descontos].[Data Fim].[All]" dimensionUniqueName="[Descontos]" displayFolder="" count="0" memberValueDatatype="7" unbalanced="0"/>
    <cacheHierarchy uniqueName="[Descontos].[Preço]" caption="Preço" attribute="1" defaultMemberUniqueName="[Descontos].[Preço].[All]" allUniqueName="[Descontos].[Preço].[All]" dimensionUniqueName="[Descontos]" displayFolder="" count="0" memberValueDatatype="5" unbalanced="0"/>
    <cacheHierarchy uniqueName="[Descontos].[Desconto]" caption="Desconto" attribute="1" defaultMemberUniqueName="[Descontos].[Desconto].[All]" allUniqueName="[Descontos].[Desconto].[All]" dimensionUniqueName="[Descontos]" displayFolder="" count="0" memberValueDatatype="5" unbalanced="0"/>
    <cacheHierarchy uniqueName="[Descontos].[Preço Final]" caption="Preço Final" attribute="1" defaultMemberUniqueName="[Descontos].[Preço Final].[All]" allUniqueName="[Descontos].[Preço Final].[All]" dimensionUniqueName="[Descontos]" displayFolder="" count="0" memberValueDatatype="130" unbalanced="0"/>
    <cacheHierarchy uniqueName="[Precificação].[Anúncio]" caption="Anúncio" attribute="1" defaultMemberUniqueName="[Precificação].[Anúncio].[All]" allUniqueName="[Precificação].[Anúncio].[All]" dimensionUniqueName="[Precificação]" displayFolder="" count="0" memberValueDatatype="130" unbalanced="0"/>
    <cacheHierarchy uniqueName="[Precificação].[Status]" caption="Status" attribute="1" defaultMemberUniqueName="[Precificação].[Status].[All]" allUniqueName="[Precificação].[Status].[All]" dimensionUniqueName="[Precificação]" displayFolder="" count="0" memberValueDatatype="130" unbalanced="0"/>
    <cacheHierarchy uniqueName="[Precificação].[Cód. do Produto]" caption="Cód. do Produto" attribute="1" defaultMemberUniqueName="[Precificação].[Cód. do Produto].[All]" allUniqueName="[Precificação].[Cód. do Produto].[All]" dimensionUniqueName="[Precificação]" displayFolder="" count="0" memberValueDatatype="130" unbalanced="0"/>
    <cacheHierarchy uniqueName="[Precificação].[Nome]" caption="Nome" attribute="1" defaultMemberUniqueName="[Precificação].[Nome].[All]" allUniqueName="[Precificação].[Nome].[All]" dimensionUniqueName="[Precificação]" displayFolder="" count="0" memberValueDatatype="130" unbalanced="0"/>
    <cacheHierarchy uniqueName="[Precificação].[Valor]" caption="Valor" attribute="1" defaultMemberUniqueName="[Precificação].[Valor].[All]" allUniqueName="[Precificação].[Valor].[All]" dimensionUniqueName="[Precificação]" displayFolder="" count="0" memberValueDatatype="5" unbalanced="0"/>
    <cacheHierarchy uniqueName="[Precificação].[Frete]" caption="Frete" attribute="1" defaultMemberUniqueName="[Precificação].[Frete].[All]" allUniqueName="[Precificação].[Frete].[All]" dimensionUniqueName="[Precificação]" displayFolder="" count="0" memberValueDatatype="5" unbalanced="0"/>
    <cacheHierarchy uniqueName="[Precificação].[Tarifa]" caption="Tarifa" attribute="1" defaultMemberUniqueName="[Precificação].[Tarifa].[All]" allUniqueName="[Precificação].[Tarifa].[All]" dimensionUniqueName="[Precificação]" displayFolder="" count="0" memberValueDatatype="5" unbalanced="0"/>
    <cacheHierarchy uniqueName="[Precificação].[Custo Fixo]" caption="Custo Fixo" attribute="1" defaultMemberUniqueName="[Precificação].[Custo Fixo].[All]" allUniqueName="[Precificação].[Custo Fixo].[All]" dimensionUniqueName="[Precificação]" displayFolder="" count="0" memberValueDatatype="130" unbalanced="0"/>
    <cacheHierarchy uniqueName="[Precificação].[Desconto]" caption="Desconto" attribute="1" defaultMemberUniqueName="[Precificação].[Desconto].[All]" allUniqueName="[Precificação].[Desconto].[All]" dimensionUniqueName="[Precificação]" displayFolder="" count="0" memberValueDatatype="5" unbalanced="0"/>
    <cacheHierarchy uniqueName="[Precificação].[Preço anunciado]" caption="Preço anunciado" attribute="1" defaultMemberUniqueName="[Precificação].[Preço anunciado].[All]" allUniqueName="[Precificação].[Preço anunciado].[All]" dimensionUniqueName="[Precificação]" displayFolder="" count="0" memberValueDatatype="5" unbalanced="0"/>
    <cacheHierarchy uniqueName="[Precificação].[Líquido a receber]" caption="Líquido a receber" attribute="1" defaultMemberUniqueName="[Precificação].[Líquido a receber].[All]" allUniqueName="[Precificação].[Líquido a receber].[All]" dimensionUniqueName="[Precificação]" displayFolder="" count="0" memberValueDatatype="5" unbalanced="0"/>
    <cacheHierarchy uniqueName="[Vendas].[Nº Venda]" caption="Nº Venda" attribute="1" defaultMemberUniqueName="[Vendas].[Nº Venda].[All]" allUniqueName="[Vendas].[Nº Venda].[All]" dimensionUniqueName="[Vendas]" displayFolder="" count="0" memberValueDatatype="130" unbalanced="0"/>
    <cacheHierarchy uniqueName="[Vendas].[Status]" caption="Status" attribute="1" defaultMemberUniqueName="[Vendas].[Status].[All]" allUniqueName="[Vendas].[Status].[All]" dimensionUniqueName="[Vendas]" displayFolder="" count="2" memberValueDatatype="130" unbalanced="0">
      <fieldsUsage count="2">
        <fieldUsage x="-1"/>
        <fieldUsage x="0"/>
      </fieldsUsage>
    </cacheHierarchy>
    <cacheHierarchy uniqueName="[Vendas].[Data da Compra]" caption="Data da Compra" attribute="1" time="1" defaultMemberUniqueName="[Vendas].[Data da Compra].[All]" allUniqueName="[Vendas].[Data da Compra].[All]" dimensionUniqueName="[Vendas]" displayFolder="" count="0" memberValueDatatype="7" unbalanced="0"/>
    <cacheHierarchy uniqueName="[Vendas].[Nome do Produto]" caption="Nome do Produto" attribute="1" defaultMemberUniqueName="[Vendas].[Nome do Produto].[All]" allUniqueName="[Vendas].[Nome do Produto].[All]" dimensionUniqueName="[Vendas]" displayFolder="" count="0" memberValueDatatype="130" unbalanced="0"/>
    <cacheHierarchy uniqueName="[Vendas].[Cód. do Produto]" caption="Cód. do Produto" attribute="1" defaultMemberUniqueName="[Vendas].[Cód. do Produto].[All]" allUniqueName="[Vendas].[Cód. do Produto].[All]" dimensionUniqueName="[Vendas]" displayFolder="" count="0" memberValueDatatype="130" unbalanced="0"/>
    <cacheHierarchy uniqueName="[Vendas].[Qtd]" caption="Qtd" attribute="1" defaultMemberUniqueName="[Vendas].[Qtd].[All]" allUniqueName="[Vendas].[Qtd].[All]" dimensionUniqueName="[Vendas]" displayFolder="" count="0" memberValueDatatype="20" unbalanced="0"/>
    <cacheHierarchy uniqueName="[Vendas].[Preço unidade]" caption="Preço unidade" attribute="1" defaultMemberUniqueName="[Vendas].[Preço unidade].[All]" allUniqueName="[Vendas].[Preço unidade].[All]" dimensionUniqueName="[Vendas]" displayFolder="" count="0" memberValueDatatype="5" unbalanced="0"/>
    <cacheHierarchy uniqueName="[Vendas].[A receber]" caption="A receber" attribute="1" defaultMemberUniqueName="[Vendas].[A receber].[All]" allUniqueName="[Vendas].[A receber].[All]" dimensionUniqueName="[Vendas]" displayFolder="" count="0" memberValueDatatype="5" unbalanced="0"/>
    <cacheHierarchy uniqueName="[Vendas].[Observação]" caption="Observação" attribute="1" defaultMemberUniqueName="[Vendas].[Observação].[All]" allUniqueName="[Vendas].[Observação].[All]" dimensionUniqueName="[Vendas]" displayFolder="" count="0" memberValueDatatype="130" unbalanced="0"/>
    <cacheHierarchy uniqueName="[Vendas].[Data da Compra (Ano)]" caption="Data da Compra (Ano)" attribute="1" defaultMemberUniqueName="[Vendas].[Data da Compra (Ano)].[All]" allUniqueName="[Vendas].[Data da Compra (Ano)].[All]" dimensionUniqueName="[Vendas]" displayFolder="" count="2" memberValueDatatype="130" unbalanced="0">
      <fieldsUsage count="2">
        <fieldUsage x="-1"/>
        <fieldUsage x="1"/>
      </fieldsUsage>
    </cacheHierarchy>
    <cacheHierarchy uniqueName="[Vendas].[Data da Compra (Trimestre)]" caption="Data da Compra (Trimestre)" attribute="1" defaultMemberUniqueName="[Vendas].[Data da Compra (Trimestre)].[All]" allUniqueName="[Vendas].[Data da Compra (Trimestre)].[All]" dimensionUniqueName="[Vendas]" displayFolder="" count="0" memberValueDatatype="130" unbalanced="0"/>
    <cacheHierarchy uniqueName="[Vendas].[Data da Compra (Mês)]" caption="Data da Compra (Mês)" attribute="1" defaultMemberUniqueName="[Vendas].[Data da Compra (Mês)].[All]" allUniqueName="[Vendas].[Data da Compra (Mês)].[All]" dimensionUniqueName="[Vendas]" displayFolder="" count="2" memberValueDatatype="130" unbalanced="0">
      <fieldsUsage count="2">
        <fieldUsage x="-1"/>
        <fieldUsage x="2"/>
      </fieldsUsage>
    </cacheHierarchy>
    <cacheHierarchy uniqueName="[Vendas].[Nome/Razão Social]" caption="Nome/Razão Social" attribute="1" defaultMemberUniqueName="[Vendas].[Nome/Razão Social].[All]" allUniqueName="[Vendas].[Nome/Razão Social].[All]" dimensionUniqueName="[Vendas]" displayFolder="" count="0" memberValueDatatype="130" unbalanced="0"/>
    <cacheHierarchy uniqueName="[Vendas].[CPF/CNPJ]" caption="CPF/CNPJ" attribute="1" defaultMemberUniqueName="[Vendas].[CPF/CNPJ].[All]" allUniqueName="[Vendas].[CPF/CNPJ].[All]" dimensionUniqueName="[Vendas]" displayFolder="" count="0" memberValueDatatype="130" unbalanced="0"/>
    <cacheHierarchy uniqueName="[Vendas].[CEP]" caption="CEP" attribute="1" defaultMemberUniqueName="[Vendas].[CEP].[All]" allUniqueName="[Vendas].[CEP].[All]" dimensionUniqueName="[Vendas]" displayFolder="" count="0" memberValueDatatype="130" unbalanced="0"/>
    <cacheHierarchy uniqueName="[Vendas].[Endereço completo]" caption="Endereço completo" attribute="1" defaultMemberUniqueName="[Vendas].[Endereço completo].[All]" allUniqueName="[Vendas].[Endereço completo].[All]" dimensionUniqueName="[Vendas]" displayFolder="" count="0" memberValueDatatype="130" unbalanced="0"/>
    <cacheHierarchy uniqueName="[Vendas].[Bairro/Distrito]" caption="Bairro/Distrito" attribute="1" defaultMemberUniqueName="[Vendas].[Bairro/Distrito].[All]" allUniqueName="[Vendas].[Bairro/Distrito].[All]" dimensionUniqueName="[Vendas]" displayFolder="" count="0" memberValueDatatype="130" unbalanced="0"/>
    <cacheHierarchy uniqueName="[Vendas].[Município]" caption="Município" attribute="1" defaultMemberUniqueName="[Vendas].[Município].[All]" allUniqueName="[Vendas].[Município].[All]" dimensionUniqueName="[Vendas]" displayFolder="" count="0" memberValueDatatype="130" unbalanced="0"/>
    <cacheHierarchy uniqueName="[Vendas].[UF]" caption="UF" attribute="1" defaultMemberUniqueName="[Vendas].[UF].[All]" allUniqueName="[Vendas].[UF].[All]" dimensionUniqueName="[Vendas]" displayFolder="" count="0" memberValueDatatype="130" unbalanced="0"/>
    <cacheHierarchy uniqueName="[Vendas].[Transportadora]" caption="Transportadora" attribute="1" defaultMemberUniqueName="[Vendas].[Transportadora].[All]" allUniqueName="[Vendas].[Transportadora].[All]" dimensionUniqueName="[Vendas]" displayFolder="" count="0" memberValueDatatype="130" unbalanced="0"/>
    <cacheHierarchy uniqueName="[Vendas].[Código de Rastreio]" caption="Código de Rastreio" attribute="1" defaultMemberUniqueName="[Vendas].[Código de Rastreio].[All]" allUniqueName="[Vendas].[Código de Rastreio].[All]" dimensionUniqueName="[Vendas]" displayFolder="" count="0" memberValueDatatype="130" unbalanced="0"/>
    <cacheHierarchy uniqueName="[Vendas].[Data da Entrega]" caption="Data da Entrega" attribute="1" time="1" defaultMemberUniqueName="[Vendas].[Data da Entrega].[All]" allUniqueName="[Vendas].[Data da Entrega].[All]" dimensionUniqueName="[Vendas]" displayFolder="" count="0" memberValueDatatype="7" unbalanced="0"/>
    <cacheHierarchy uniqueName="[Vendas].[Nota Fiscal]" caption="Nota Fiscal" attribute="1" defaultMemberUniqueName="[Vendas].[Nota Fiscal].[All]" allUniqueName="[Vendas].[Nota Fiscal].[All]" dimensionUniqueName="[Vendas]" displayFolder="" count="0" memberValueDatatype="130" unbalanced="0"/>
    <cacheHierarchy uniqueName="[Vendas].[Garantia]" caption="Garantia" attribute="1" defaultMemberUniqueName="[Vendas].[Garantia].[All]" allUniqueName="[Vendas].[Garantia].[All]" dimensionUniqueName="[Vendas]" displayFolder="" count="0" memberValueDatatype="130" unbalanced="0"/>
    <cacheHierarchy uniqueName="[Vendas].[Data da Compra (Índice de Mês)]" caption="Data da Compra (Índice de Mês)" attribute="1" defaultMemberUniqueName="[Vendas].[Data da Compra (Índice de Mês)].[All]" allUniqueName="[Vendas].[Data da Compra (Índice de Mês)].[All]" dimensionUniqueName="[Vendas]" displayFolder="" count="0" memberValueDatatype="20" unbalanced="0" hidden="1"/>
    <cacheHierarchy uniqueName="[Measures].[__XL_Count Precificação]" caption="__XL_Count Precificação" measure="1" displayFolder="" measureGroup="Precificação" count="0" hidden="1"/>
    <cacheHierarchy uniqueName="[Measures].[__XL_Count Descontos]" caption="__XL_Count Descontos" measure="1" displayFolder="" measureGroup="Descontos" count="0" hidden="1"/>
    <cacheHierarchy uniqueName="[Measures].[__XL_Count Vendas]" caption="__XL_Count Vendas" measure="1" displayFolder="" measureGroup="Vendas" count="0" hidden="1"/>
    <cacheHierarchy uniqueName="[Measures].[__No measures defined]" caption="__No measures defined" measure="1" displayFolder="" count="0" hidden="1"/>
    <cacheHierarchy uniqueName="[Measures].[Contagem de Anúncio]" caption="Contagem de Anúncio" measure="1" displayFolder="" measureGroup="Desconto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Preço anunciado]" caption="Soma de Preço anunciado" measure="1" displayFolder="" measureGroup="Precificação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Líquido a receber]" caption="Soma de Líquido a receber" measure="1" displayFolder="" measureGroup="Precificaçã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oma de Preço unidade]" caption="Soma de Preço unidade" measure="1" displayFolder="" measureGroup="Venda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a de A receber]" caption="Soma de A receber" measure="1" displayFolder="" measureGroup="Venda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Contagem de A receber]" caption="Contagem de A receber" measure="1" displayFolder="" measureGroup="Venda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Máx. de A receber]" caption="Máx. de A receber" measure="1" displayFolder="" measureGroup="Venda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4">
    <dimension name="Descontos" uniqueName="[Descontos]" caption="Descontos"/>
    <dimension measure="1" name="Measures" uniqueName="[Measures]" caption="Measures"/>
    <dimension name="Precificação" uniqueName="[Precificação]" caption="Precificação"/>
    <dimension name="Vendas" uniqueName="[Vendas]" caption="Vendas"/>
  </dimensions>
  <measureGroups count="3">
    <measureGroup name="Descontos" caption="Descontos"/>
    <measureGroup name="Precificação" caption="Precificação"/>
    <measureGroup name="Vendas" caption="Vendas"/>
  </measureGroups>
  <maps count="4">
    <map measureGroup="0" dimension="0"/>
    <map measureGroup="1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pivotCacheId="108909891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4">
  <r>
    <s v="#2000012040463909"/>
    <x v="0"/>
    <x v="0"/>
    <s v="Sprinter Tubo De Agua De Refrigeração Cdi | Mercedes-benz_x000a_M004068"/>
    <s v="#3611174137"/>
    <n v="1"/>
    <n v="630"/>
    <n v="498.25"/>
    <s v="Tarifa: -R$ 107,10; Frete: -R$ 24,65"/>
    <s v="TIAGO ALVES DOS SANTOS"/>
    <s v="298.442.918-44"/>
    <s v="02360-250"/>
    <s v="TRAVESSA JOSÉ VIRGÍLIO RAMOS 38"/>
    <s v="JARDIM FONTALIS"/>
    <s v="SÃO PAULO"/>
    <x v="0"/>
    <s v="MERCADO ENVIOS"/>
    <s v="ENVIO NORMAL"/>
    <d v="2026-03-18T00:00:00"/>
    <s v="11556"/>
    <s v="Em garantia"/>
  </r>
  <r>
    <s v="#2000011981958333"/>
    <x v="0"/>
    <x v="1"/>
    <s v="Lanterna Traseira Sprinter 313 Mercedes A0008260756_x000a_M002819"/>
    <s v="#4352836981"/>
    <n v="1"/>
    <n v="122.75"/>
    <n v="86.97"/>
    <s v="Tarifa: -R$ 14,73; Frete: -R$ 21,05"/>
    <s v="CLEBER SOUZA"/>
    <s v="788.962.401-82"/>
    <s v="72007-750"/>
    <s v="RUA 12 CHÁCARA, 129A CONJUNTO A 16"/>
    <s v="BRASÍLIA"/>
    <s v="BRASÍLIA"/>
    <x v="1"/>
    <s v="MERCADO ENVIOS"/>
    <s v="ENVIO NORMAL"/>
    <m/>
    <m/>
    <s v=""/>
  </r>
  <r>
    <s v="#2000011923504169"/>
    <x v="0"/>
    <x v="2"/>
    <s v="Sprinter Tubo De Agua De Refrigeração Cdi | Mercedes-benz_x000a_M004068"/>
    <s v="#3611174137"/>
    <n v="1"/>
    <n v="630"/>
    <n v="498.25"/>
    <s v="Tarifa: -R$ 107,10; Frete: -R$ 24,65"/>
    <s v="CARLOS ALEXANDRE SAITO"/>
    <s v="329.634.228-14"/>
    <s v="12237-070"/>
    <s v="RUA PENEDO, 300"/>
    <s v="JARDIM VENEZA"/>
    <s v="SÃO JOSÉ DOS CAMPOS"/>
    <x v="0"/>
    <s v="MERCADO ENVIOS"/>
    <s v="ENVIO NORMAL"/>
    <m/>
    <s v="11541"/>
    <s v=""/>
  </r>
  <r>
    <s v="#2000011838498495"/>
    <x v="1"/>
    <x v="3"/>
    <s v="Tirante/freio/mao Menor 64 Cm. Mb O362/o364/oh1313_x000a_M003714"/>
    <s v="#5099370216"/>
    <n v="2"/>
    <n v="196"/>
    <n v="-146.74"/>
    <s v="Cancelado porque não há estoque disponível."/>
    <s v="DOUGLAS DUARTE"/>
    <s v="086.106.508-55"/>
    <s v="8610650-855"/>
    <s v="RUA ELIAS FELÍCIO, 137"/>
    <s v="NÚCLEO H. MARY DOTA"/>
    <s v="BAURU "/>
    <x v="0"/>
    <m/>
    <m/>
    <m/>
    <m/>
    <s v=""/>
  </r>
  <r>
    <s v="#2000011817606743"/>
    <x v="0"/>
    <x v="4"/>
    <s v="Trava Antifurto Tanque Combustível Plástico Rosca Interna Verde_x000a_Cor: Verde | SKU M005944T"/>
    <s v="#4249882811"/>
    <n v="1"/>
    <n v="128.91999999999999"/>
    <n v="95.49"/>
    <s v="Tarifa: -R$15,47; Tarifa: -R$17,96"/>
    <s v="EDSON RODRIGUES"/>
    <s v="336.235.541-20"/>
    <s v="75890-000"/>
    <s v="RUA 14 ESQUINA RUA 11 SN"/>
    <s v="OUTRO"/>
    <s v="SÃO SIMÃO"/>
    <x v="2"/>
    <s v="MERCADO ENVIOS"/>
    <s v="ENVIO NORMAL"/>
    <d v="2026-03-06T00:00:00"/>
    <s v="11531"/>
    <s v="Em garantia"/>
  </r>
  <r>
    <s v="#2000011515564829"/>
    <x v="0"/>
    <x v="5"/>
    <s v="Sapatas De Freio Mazzicar Ducato 2000-2005_x000a_E002275"/>
    <s v="#5082694220"/>
    <n v="1"/>
    <n v="112.33"/>
    <n v="82.44"/>
    <s v="Tarifa: -R$ 13,48; Frete: -R$ 16,41"/>
    <s v="ADAO DONIZETE MADEIRA"/>
    <s v="627.169.806-91"/>
    <s v="37810-000"/>
    <s v="RUA MARECHAL FLORIANO PEIXOTO, 1511"/>
    <s v="CENTRO"/>
    <s v="GUARANÉSIA"/>
    <x v="3"/>
    <s v="MERCADO ENVIOS"/>
    <s v="ENVIO NORMAL"/>
    <d v="2026-02-14T00:00:00"/>
    <s v="11508"/>
    <s v="Em garantia"/>
  </r>
  <r>
    <s v="#2000011435414249"/>
    <x v="0"/>
    <x v="6"/>
    <s v="Trava Antifurto Tanque Combustível Plástico Rosca Interna Verde_x000a_Cor: Verde | SKU M005944T"/>
    <s v="#4249882811"/>
    <n v="1"/>
    <n v="128.91999999999999"/>
    <n v="95.49"/>
    <s v="Tarifa: -R$15,47; Tarifa: -R$17,96"/>
    <s v="JOCEMAR MORAES DE OLIVEIRA"/>
    <s v="966.990.940-68"/>
    <s v="97310-621"/>
    <s v="RUA SANTA MARGARIDA, 1067"/>
    <s v="VILA TRINDADE"/>
    <s v="SÃO GABRIEL"/>
    <x v="4"/>
    <s v="MERCADO ENVIOS"/>
    <s v="ENVIO NORMAL"/>
    <d v="2026-02-13T00:00:00"/>
    <s v="11498"/>
    <s v="Em garantia"/>
  </r>
  <r>
    <s v="#2000011389271763"/>
    <x v="0"/>
    <x v="7"/>
    <s v="Trava Antifurto Tanque Combustível Plástico Rosca Externa Verde_x000a_M005944T"/>
    <s v="#4249882811"/>
    <n v="1"/>
    <n v="195.16"/>
    <n v="151.54"/>
    <s v="Tarifa: -R$23,42; Frete: -R$20,20"/>
    <s v="ANDERSON GONCALVES DE CERQUEIRA"/>
    <s v="118.872.877-60"/>
    <s v="20561-005"/>
    <s v="RUA CANAVIEIRAS, 700"/>
    <s v="GRAJAÚ"/>
    <s v="RIO DE JANEIRO"/>
    <x v="5"/>
    <s v="MERCADO ENVIOS"/>
    <s v="ENVIO NORMAL"/>
    <d v="2026-02-06T00:00:00"/>
    <s v="11488"/>
    <s v="Em garantia"/>
  </r>
  <r>
    <s v="#2000011328804953"/>
    <x v="0"/>
    <x v="8"/>
    <s v="Farol Sealed Beam P/ Lamp H4 S/ Vigia - 180mm Ambos Lados_x000a_M00422439"/>
    <s v="#5736327940"/>
    <n v="2"/>
    <n v="300"/>
    <n v="221.79"/>
    <s v="Tarifa: -R$36,00; Frete: -R$42,21"/>
    <s v="MARIO SERGIO MARANHAO MARQUES"/>
    <s v="109.795.495-15"/>
    <s v="40295-050"/>
    <s v="AVENIDA SANTA LUZIA 610"/>
    <s v="HORTO FLORESTAL"/>
    <s v="SALVADOR "/>
    <x v="6"/>
    <s v="MERCADO ENVIOS"/>
    <s v="ENVIO NORMAL"/>
    <d v="2026-02-05T00:00:00"/>
    <s v="11483"/>
    <s v="Em garantia"/>
  </r>
  <r>
    <s v="#2000011298566801"/>
    <x v="2"/>
    <x v="9"/>
    <s v="Trava Antifurto Tanque Combustível Plástico Rosca Externa Verde_x000a_M005944T"/>
    <s v="#4249882811"/>
    <n v="1"/>
    <n v="195.16"/>
    <n v="151.54"/>
    <s v="Tarifa: -R$ 23,42; Frete: -R$20,20"/>
    <s v="CELSO GOLTSMAN LERNER"/>
    <s v="468.253.637-00"/>
    <s v="20010-020"/>
    <s v="RUA SÃO JOSÉ 35"/>
    <s v="CENTRO"/>
    <s v="RIO DE JANEIRO"/>
    <x v="5"/>
    <s v="MERCADO ENVIOS"/>
    <s v="ENVIO NORMAL"/>
    <d v="2026-02-02T00:00:00"/>
    <s v="11481"/>
    <s v="Fora da garantia"/>
  </r>
  <r>
    <s v="#2000011272545311"/>
    <x v="0"/>
    <x v="10"/>
    <s v="Frontal Farol Quadrado Lado Direito Mercedes Agl 1518 1113_x000a_M004666"/>
    <s v="#5572470428"/>
    <n v="1"/>
    <n v="726"/>
    <n v="-105.45"/>
    <s v="Tarifa: -R$ 123,42; Frete: -R$105,45"/>
    <s v="LUIZ REGIS FERREIRA"/>
    <s v="048.860.399-44"/>
    <s v="84950-000"/>
    <s v="RUA BENJAMIN CONSTANT, 119"/>
    <s v="CENTRO"/>
    <s v="WENCESLAU BRAZ"/>
    <x v="7"/>
    <s v="MERCADO ENVIOS"/>
    <s v="ENVIO NORMAL"/>
    <d v="2026-01-31T00:00:00"/>
    <s v="11478"/>
    <s v="Fora da garantia"/>
  </r>
  <r>
    <s v="#2000011121331647"/>
    <x v="2"/>
    <x v="11"/>
    <s v="Tampa Do Filtro De Ar S/ Sensor Sprinter 310 A0010949506_x000a_M009132"/>
    <s v="#5475689610"/>
    <n v="1"/>
    <n v="449.99"/>
    <n v="-346.54"/>
    <s v="Tarifa: -R$ 76,50; Frete: -R$ 26,95"/>
    <s v="KELIO ANTONIO DOS REIS"/>
    <s v="068.026.386-14"/>
    <s v="37901-300"/>
    <s v="RODOVIA MG-050, 910"/>
    <s v="JARDIM VILA RICA"/>
    <s v="PASSOS "/>
    <x v="3"/>
    <s v="MERCADO ENVIOS"/>
    <s v="ENVIO NORMAL"/>
    <d v="2026-01-28T00:00:00"/>
    <s v="11466"/>
    <s v="Fora da garantia"/>
  </r>
  <r>
    <s v="#2000011043166257"/>
    <x v="0"/>
    <x v="12"/>
    <s v="Tubo Flexível De Freio Traseiro 280mm_x000a_E005533"/>
    <s v="#3859451769"/>
    <n v="1"/>
    <n v="79.98"/>
    <n v="57.38"/>
    <s v="Tarifa: -R$22,60"/>
    <s v="BRUNO RODRIGUES PORTES"/>
    <s v="085.762.746-55"/>
    <s v="30550-630"/>
    <s v="RUA JOEL DE MATOS SAID, 310"/>
    <s v="SALGADO FILHO"/>
    <s v="BELO HORIZONTE"/>
    <x v="3"/>
    <s v="MERCADO ENVIOS"/>
    <s v="ENVIO NORMAL"/>
    <d v="2026-01-16T00:00:00"/>
    <s v="11458"/>
    <s v="Fora da garantia"/>
  </r>
  <r>
    <s v="#2000014561103252"/>
    <x v="0"/>
    <x v="13"/>
    <s v="Coroa E Pinhão 7x43 16mm 3853500939_x000a_M006671"/>
    <s v="#5775483352"/>
    <n v="1"/>
    <n v="2469.59"/>
    <n v="1950.81"/>
    <s v="Tarifa: -R$ 419,83; -R$ 98,95"/>
    <s v="PAULO ROBERTO BARBOSA DA SILVA"/>
    <s v="926.034.163-91"/>
    <s v="63090-534"/>
    <s v="RUA T22, 122"/>
    <s v="BELA VISTA"/>
    <s v="BARBALHA"/>
    <x v="8"/>
    <s v="MERCADO ENVIOS"/>
    <s v="ENVIO NORMAL"/>
    <d v="2026-01-19T00:00:00"/>
    <s v="11444"/>
    <s v="Fora da garantia"/>
  </r>
  <r>
    <s v="#2000010758091933"/>
    <x v="0"/>
    <x v="14"/>
    <s v="Tubo Flexível Freio Dianteiro Ducato 300/4628_x000a_E005701"/>
    <s v="#3842676429"/>
    <n v="2"/>
    <n v="49.5"/>
    <n v="31.06"/>
    <s v="Tarifa: -R$ 18,44;"/>
    <s v="LIDIANE KRIEGER DOS SANTOS"/>
    <s v="314.309.688-85"/>
    <s v="11675-160"/>
    <s v="RUA JOÃO SOUZA, 77"/>
    <s v="VILA NOSSA SRA. APARECIDA"/>
    <s v="CARAGUATATUBA"/>
    <x v="0"/>
    <s v="MERCADO ENVIOS"/>
    <s v="ENVIO NORMAL"/>
    <d v="2025-12-31T00:00:00"/>
    <s v="11433"/>
    <s v="Fora da garantia"/>
  </r>
  <r>
    <s v="#2000010692886793"/>
    <x v="0"/>
    <x v="15"/>
    <s v="Trava Antifurto Tanque Combustível Plástico Rosca Externa Verde_x000a_M005944T"/>
    <s v="#4249882811"/>
    <n v="1"/>
    <n v="130.76"/>
    <n v="97.11"/>
    <s v="Tarifa: -R$ 15,69; Frete: -R$ 17,96"/>
    <s v="DANIELA ALMEIDA"/>
    <s v="758.078.901-91"/>
    <s v="75106-375"/>
    <s v="RUA MARIA DE MELLO, SN"/>
    <s v="RESIDENCIAL ARCO-ÍRIS"/>
    <s v="ANÁPOLIS"/>
    <x v="2"/>
    <s v="MERCADO ENVIOS"/>
    <s v="ENVIO NORMAL"/>
    <d v="2025-12-27T00:00:00"/>
    <s v="11426"/>
    <s v="Fora da garantia"/>
  </r>
  <r>
    <s v="#2000010457296461"/>
    <x v="0"/>
    <x v="16"/>
    <s v="Espelho Freio Hidráulico Traseiro Le Mb 1111/1113/1116 Vinho_x000a_M000000"/>
    <s v="#5857390602"/>
    <n v="1"/>
    <n v="170.23"/>
    <n v="115.69"/>
    <s v="Tarifa: -R$ 28,94; Frete: -R$ 25,60"/>
    <s v="CLEITON EUSTAQUIO SILVA"/>
    <s v="042.503.596-46"/>
    <s v="38082-147"/>
    <s v="AVENIDA NOSSA SENHORA DO DESTERRO, 1388"/>
    <s v="PARAÍSO"/>
    <s v="UBERABA"/>
    <x v="3"/>
    <s v="MERCADO ENVIOS"/>
    <s v="ENVIO NORMAL"/>
    <d v="2025-12-13T00:00:00"/>
    <s v="11400"/>
    <s v="Fora da garantia"/>
  </r>
  <r>
    <s v="#2000010359672033"/>
    <x v="0"/>
    <x v="17"/>
    <s v="Capa Câmbio De Marcha Moletom Com Capuz Preto E Vermelho_x000a_M004080"/>
    <s v="#3666107331"/>
    <n v="1"/>
    <n v="34"/>
    <n v="23.42"/>
    <s v="Tarifa: -R$10,58"/>
    <s v="LUCAS MIGUEL DOS ANJOS"/>
    <s v="089.026.959-99"/>
    <s v="84640-000"/>
    <s v="DR.OSCAR GEYER, 769"/>
    <s v="CENTRO"/>
    <s v="BITURUNA"/>
    <x v="7"/>
    <s v="MERCADO ENVIOS"/>
    <s v="ENVIO NORMAL"/>
    <d v="2025-12-15T00:00:00"/>
    <s v="11404"/>
    <s v="Fora da garantia"/>
  </r>
  <r>
    <s v="#2000010209623885"/>
    <x v="0"/>
    <x v="18"/>
    <s v="Frontal Farol Quadrado Para Caminhão Mercedes Agl 1518 1113_x000a_M006736"/>
    <s v="#5295536766"/>
    <n v="1"/>
    <n v="550"/>
    <n v="412.05"/>
    <s v="Tarifa: -R$ 93,50; Frete: -R$ 44,45"/>
    <s v="JOSE DE FATIMA GONCALVES DA SILVA"/>
    <s v="047.031.423-09"/>
    <s v="65505-000"/>
    <s v="RUA VALMIR COSTA, SN"/>
    <s v="CAMPO VELHO"/>
    <s v="AFONSO CUNHA"/>
    <x v="9"/>
    <s v="MERCADO ENVIOS"/>
    <s v="ENVIO NORMAL"/>
    <d v="2025-12-03T00:00:00"/>
    <s v="11379"/>
    <s v="Fora da garantia"/>
  </r>
  <r>
    <s v="#2000010134498169"/>
    <x v="0"/>
    <x v="19"/>
    <s v="Tubo Flexível Freio Dianteiro Ducato 300/4628_x000a_E005701"/>
    <s v="#3842676429"/>
    <n v="1"/>
    <n v="37.4"/>
    <n v="26.41"/>
    <s v="Tarifa: -R$ 10,99;"/>
    <s v="PATRICIA CRISTINA PORTO"/>
    <s v="345.890.918-44"/>
    <s v="15895-144"/>
    <s v="RUA LUIZ VICENTE FERREIRA, 720"/>
    <s v="AVENIDA PARQUE"/>
    <s v="CEDRAL"/>
    <x v="0"/>
    <s v="MERCADO ENVIOS"/>
    <s v="ENVIO NORMAL"/>
    <d v="2025-11-29T00:00:00"/>
    <s v="11376"/>
    <s v="Fora da garantia"/>
  </r>
  <r>
    <s v="#2000010096885285"/>
    <x v="0"/>
    <x v="20"/>
    <s v="Indicador De Combustível Elétrico Turotest 300088 12v 52mm_x000a_E006531"/>
    <s v="#3789964608"/>
    <n v="1"/>
    <n v="252"/>
    <n v="187.71"/>
    <s v="Tarifa: -R$ 42,84; Frete: -R$21,45"/>
    <s v="PEDRO HENRIQUE DE OLIVEIRA LIM LIMA"/>
    <s v="090.089.166-14"/>
    <s v="14801-417"/>
    <s v="RUA PROFESSORA ADÉLIA IZIQUE, 1101"/>
    <s v="VILA SANTANA"/>
    <s v="ARARAQUARA"/>
    <x v="0"/>
    <s v="MERCADO ENVIOS"/>
    <s v="ENVIO NORMAL"/>
    <d v="2025-11-23T00:00:00"/>
    <s v="11365"/>
    <s v="Fora da garantia"/>
  </r>
  <r>
    <s v="#2000010086163681"/>
    <x v="0"/>
    <x v="21"/>
    <s v="Sprinter Tubo De Agua De Refrigeração Cdi | Mercedes-benz_x000a_M004068"/>
    <s v="#3611174137"/>
    <n v="1"/>
    <n v="630"/>
    <n v="499.45"/>
    <s v="Tarifa: -R$ 107,10; Frete: -R$ 23,45"/>
    <s v="GABRIEL FERREIRA RIBEIRO"/>
    <s v="047.683.141-55"/>
    <s v="72878-018"/>
    <s v="AVENIDA MARGINAL, 2"/>
    <s v="PARQUE ESPLANADA II"/>
    <s v="VALPARAÍSO DE GOIÁS"/>
    <x v="2"/>
    <s v="MERCADO ENVIOS"/>
    <s v="ENVIO NORMAL"/>
    <d v="2025-11-22T00:00:00"/>
    <s v="11360"/>
    <s v="Fora da garantia"/>
  </r>
  <r>
    <s v="#2000010083181401"/>
    <x v="0"/>
    <x v="21"/>
    <s v="Tubo Flexível Freio Dianteiro Ducato 300/4628_x000a_E005701"/>
    <s v="#3842676429"/>
    <n v="1"/>
    <n v="37.4"/>
    <n v="26.41"/>
    <s v="Tarifa: -R$ 10,99;"/>
    <s v="PATRICIA CRISTINA PORTO"/>
    <s v="345.890.918-44"/>
    <s v="15895-144"/>
    <s v="RUA LUIZ VICENTE FERREIRA, 720"/>
    <s v="AVENIDA PARQUE"/>
    <s v="CEDRAL"/>
    <x v="0"/>
    <s v="MERCADO ENVIOS"/>
    <s v="ENVIO NORMAL"/>
    <d v="2025-11-22T00:00:00"/>
    <s v="11364"/>
    <s v="Fora da garantia"/>
  </r>
  <r>
    <s v="#2000010082239281"/>
    <x v="0"/>
    <x v="21"/>
    <s v="Espelho Freio Hidráulico Traseiro Ld Mb 1111 1113 1116 Vinho Vinho_x000a_M003555"/>
    <s v="#4271786349"/>
    <n v="1"/>
    <n v="266"/>
    <n v="192.33"/>
    <s v="Tarifa: -R$ 45,22; Frete: -R$ 28,45"/>
    <s v="HELMO SOBRAL"/>
    <s v="940.767.405-30"/>
    <s v="47850-001"/>
    <s v="AVENIDA BARREIRAS, 115"/>
    <s v="CENTRO"/>
    <s v="LUÍS EDUARDO MAGALHÃES"/>
    <x v="6"/>
    <s v="MERCADO ENVIOS"/>
    <s v="ENVIO NORMAL"/>
    <d v="2025-11-26T00:00:00"/>
    <s v="11357"/>
    <s v="Fora da garantia"/>
  </r>
  <r>
    <s v="#2000010070741173"/>
    <x v="0"/>
    <x v="22"/>
    <s v="Boia Tanque Mb Sprinter 310d /312d /311cdi /313cdi /412cdi_x000a_M008636"/>
    <s v="#2708946936"/>
    <n v="1"/>
    <n v="2280"/>
    <n v="1865.45"/>
    <s v="Tarifa: -R$ 387,60; Frete: -R$ 26,95"/>
    <s v="MAURO PEDRO DA SILVA"/>
    <s v="485.005.690-34"/>
    <s v="95925-000"/>
    <s v="RUA ANTÔNIO IORRA, 765"/>
    <s v="CENTRO"/>
    <s v="PROGRESSO"/>
    <x v="4"/>
    <s v="MERCADO ENVIOS"/>
    <s v="ENVIO NORMAL"/>
    <d v="2025-11-21T00:00:00"/>
    <s v="11352"/>
    <s v="Fora da garantia"/>
  </r>
  <r>
    <s v="#2000010060705113"/>
    <x v="2"/>
    <x v="22"/>
    <s v="Correia Dentada Motores 152 Dentes 2.8 8v Eletrônico_x000a_M004882"/>
    <s v="#5042079580"/>
    <n v="1"/>
    <n v="184.8"/>
    <n v="-134.08000000000001"/>
    <s v="Tarifa: -R$ 31,42; Frete: -R$ 19,30"/>
    <s v="BRASILINO RIBEIRO COSTA"/>
    <s v="395.855.819-49"/>
    <s v="13347-020"/>
    <s v="RUA JOSÉ CARLOS GEISS, 44"/>
    <s v="RECREIO CAMPESTRE JÓIA"/>
    <s v="INDAIATUBA"/>
    <x v="0"/>
    <s v="MERCADO ENVIOS"/>
    <s v="ENVIO NORMAL"/>
    <d v="2025-11-21T00:00:00"/>
    <s v="11351"/>
    <s v="Fora da garantia"/>
  </r>
  <r>
    <s v="#2000010057550541"/>
    <x v="0"/>
    <x v="22"/>
    <s v="Espelho Freio Hidráulico Traseiro Le Mb 1111/1113/1116 Vinho_x000a_M003552"/>
    <s v="#5857390602"/>
    <n v="1"/>
    <n v="170.24"/>
    <n v="115.7"/>
    <s v="Tarifa: -R$ 28,94; Frete: -R$ 25,60"/>
    <s v="AIRTON HUBENER FISCHER"/>
    <s v="890.910.789-87"/>
    <s v="89239-400"/>
    <s v="RODOVIA SC-418, SN"/>
    <s v="DONA FRANCISCA (PIRABEIRABA)"/>
    <s v="JOINVILLE "/>
    <x v="10"/>
    <s v="MERCADO ENVIOS"/>
    <s v="ENVIO NORMAL"/>
    <d v="2025-11-19T00:00:00"/>
    <s v="11347"/>
    <s v="Fora da garantia"/>
  </r>
  <r>
    <s v="#2000010026239095"/>
    <x v="0"/>
    <x v="23"/>
    <s v="Indicador De Combustível Elétrico Turotest 300088 12v 52mm_x000a_E006531"/>
    <s v="#3789964608"/>
    <n v="1"/>
    <n v="252"/>
    <n v="187.71"/>
    <s v="Tarifa: -R$ 42,84; Frete: -R$ 21,45"/>
    <s v="LUANA ARRANZ POLIMENO"/>
    <s v="390.279.338-47"/>
    <s v="08775-390"/>
    <s v="RUA PEDRO ALVARES CABRAL, 135"/>
    <s v="JARDIM MARICA"/>
    <s v="MOGI DAS CRUZES"/>
    <x v="0"/>
    <s v="MERCADO ENVIOS"/>
    <s v="ENVIO NORMAL"/>
    <d v="2025-11-19T00:00:00"/>
    <s v="11346"/>
    <s v="Fora da garantia"/>
  </r>
  <r>
    <s v="#2000010017047485"/>
    <x v="0"/>
    <x v="24"/>
    <s v="Bolsa Lateral Porta Caminhão Mb Hpn Ln 709 710 Cinza Cinza-escuro_x000a_M000813"/>
    <s v="#4306315159"/>
    <n v="2"/>
    <n v="75.27"/>
    <n v="118.98"/>
    <s v="Tarifa: -R$ 31,56"/>
    <s v="FERNANDA TREZUP"/>
    <s v="058.804.039-80"/>
    <s v="83005-450"/>
    <s v="AVENIDA DAS TORRES, 5101"/>
    <s v="SÃO PEDRO"/>
    <s v="SÃO JOSÉ DOS PINHAIS"/>
    <x v="7"/>
    <s v="MERCADO ENVIOS"/>
    <s v="ENVIO NORMAL"/>
    <d v="2025-11-20T00:00:00"/>
    <s v="11345"/>
    <s v="Fora da garantia"/>
  </r>
  <r>
    <s v="#2000009932769169"/>
    <x v="0"/>
    <x v="25"/>
    <s v="Tampa Do Filtro De Ar S/ Sensor Sprinter 310 A0010949506_x000a_M009132"/>
    <s v="#5475689610"/>
    <n v="1"/>
    <n v="449.99"/>
    <n v="329.04"/>
    <s v="Tarifa: -76,50 Frete: -44,45"/>
    <s v="REINALDO VIANA ALVES"/>
    <s v="893.910.208-87"/>
    <s v="33231-640"/>
    <s v="RUA PEQUI, 210"/>
    <s v="PALMITAL"/>
    <s v="LAGOA SANTA"/>
    <x v="3"/>
    <s v="MERCADO ENVIOS"/>
    <s v="ENVIO NORMAL"/>
    <d v="2025-11-11T00:00:00"/>
    <s v="11332"/>
    <s v="Fora da garantia"/>
  </r>
  <r>
    <s v="#2000009784223221"/>
    <x v="0"/>
    <x v="26"/>
    <s v="Indicador De Combustível Elétrico Turotest 300088 12v 52mm_x000a_E006531"/>
    <s v="#3789964608"/>
    <n v="1"/>
    <n v="266"/>
    <n v="199.33"/>
    <s v="Tarifa: -R$45,22; Frete: -R$21,45"/>
    <s v="RICARDO SANRAY AGUIAR LOPES"/>
    <s v="623.508.383-15"/>
    <s v="62580-000"/>
    <s v="AVENIDA GERALDO LOPES, 115"/>
    <s v="MORADORA NOVA"/>
    <s v="ACARAU"/>
    <x v="8"/>
    <s v="MERCADO ENVIOS"/>
    <s v="ENVIO NORMAL"/>
    <d v="2025-11-04T00:00:00"/>
    <s v="11300"/>
    <s v="Fora da garantia"/>
  </r>
  <r>
    <s v="#2000013579974980"/>
    <x v="0"/>
    <x v="27"/>
    <s v="Sprinter Tubo De Agua De Refrigeração Cdi | Mercedes-benz_x000a_M004068"/>
    <s v="#3611174137"/>
    <n v="1"/>
    <n v="630"/>
    <n v="499.45"/>
    <s v="Tarifa: -R$107,10"/>
    <s v="ALEXANDRE RODOLFO SOARES"/>
    <s v="339.931.638-00"/>
    <s v="12213-215"/>
    <s v="RUA ANNA ORTEGA TRABALLI 430"/>
    <s v="SÃO JOSÉ DOS CAMPOS "/>
    <s v="SÕA PAULO"/>
    <x v="0"/>
    <s v="MERCADO ENVIOS"/>
    <s v="ENVIO NORMAL"/>
    <d v="2025-10-31T00:00:00"/>
    <s v="11290"/>
    <s v="Fora da garantia"/>
  </r>
  <r>
    <s v="#2000009745315697"/>
    <x v="0"/>
    <x v="28"/>
    <s v="Válvula De Admissão Vs1136 - Auto Técnica - 60 Graus (2 Pçs)_x000a_M004010"/>
    <s v="#3810090387"/>
    <n v="1"/>
    <n v="40.32"/>
    <n v="28.98"/>
    <s v="Tarifa: R$11,34 "/>
    <s v="MARCIA DA MATTA WATZL "/>
    <s v="984.918.577-53"/>
    <s v="22450-130"/>
    <s v="RUA TIMÓTEO DA COSTA 444"/>
    <s v="LEBLON"/>
    <s v="RIO DE JANEIRO"/>
    <x v="5"/>
    <s v="MERCADO ENVIOS"/>
    <s v="ENVIO NORMAL"/>
    <d v="2025-11-01T00:00:00"/>
    <s v="11289"/>
    <s v="Fora da garantia"/>
  </r>
  <r>
    <s v="#2000013559809582"/>
    <x v="0"/>
    <x v="29"/>
    <s v="Disco De Tacógrafo Diário 125x24 (caixa Com 100 Unidades) Branco_x000a_M008580"/>
    <s v="#4477462426"/>
    <n v="1"/>
    <n v="21"/>
    <n v="12.23"/>
    <s v="Tarifa: -R$8,77 "/>
    <s v="REGINALDO PEDROSO"/>
    <s v="037.050.196-94"/>
    <s v="37655-000"/>
    <s v="RUA 8 NOVA ITAPEVA 125A"/>
    <s v="NOVA ITAPEVA"/>
    <s v="ITAPERA"/>
    <x v="3"/>
    <s v="MERCADO ENVIOS"/>
    <s v="ENVIO NORMAL"/>
    <d v="2025-10-31T00:00:00"/>
    <s v="1127"/>
    <s v="Fora da garantia"/>
  </r>
  <r>
    <s v="#2000013497839372"/>
    <x v="0"/>
    <x v="30"/>
    <s v="Tanque De Combustível Galvanizado 140 Litros Mercedes 1113_x000a_M006674"/>
    <s v="#4783780204"/>
    <n v="1"/>
    <n v="415.99"/>
    <n v="166.32"/>
    <s v="Tarifa: -R$70,72; Frete: -R$178,95"/>
    <s v="HELENA DE OLIVEIRA EMERIM"/>
    <s v="004.986.779-23"/>
    <s v="88901-062"/>
    <s v="RUA JOÃO ALVES OURIQUES, 77"/>
    <s v="CIDADE ALTA"/>
    <s v="ARARANGUÁ"/>
    <x v="10"/>
    <s v="MERCADO ENVIOS"/>
    <s v="ENVIO NORMAL"/>
    <d v="2025-10-27T00:00:00"/>
    <s v="11275"/>
    <s v="Fora da garantia"/>
  </r>
  <r>
    <s v="#2000013463971802"/>
    <x v="0"/>
    <x v="31"/>
    <s v="Tanque De Combustível Galvanizado 140 Litros Mercedes 1113_x000a_M006674"/>
    <s v="#4783780204"/>
    <n v="1"/>
    <n v="415.99"/>
    <n v="166.32"/>
    <s v="Tarifa: -R$70,72; Frete: -R$178,95"/>
    <s v="MAURICIO RODRIGUES FELGUEIRAS"/>
    <s v="025.656.747-67"/>
    <s v="22743-010"/>
    <s v="AVENIDA GEREMÁRIO DANTAS, 904"/>
    <s v="PECHINCHA"/>
    <s v="RIO DE JANEIRO"/>
    <x v="5"/>
    <s v="MERCADO ENVIOS"/>
    <s v="ENVIO NORMAL"/>
    <d v="2025-10-22T00:00:00"/>
    <s v="11273"/>
    <s v="Fora da garantia"/>
  </r>
  <r>
    <s v="#2000013398547350"/>
    <x v="1"/>
    <x v="32"/>
    <s v="Tanque De Combustível Galvanizado 140 Litros Mercedes 1113_x000a_M006674"/>
    <s v="#4783780204"/>
    <n v="1"/>
    <n v="285.99"/>
    <n v="543.01"/>
    <m/>
    <s v="OTAVIO CASTILHOS DA CONCEIÇÃO"/>
    <s v="074.436.049-80"/>
    <s v="85155-000"/>
    <s v="RUA ROSENDO COSTA CRISTO, SN"/>
    <s v="CENTRO"/>
    <s v="INÁCIO MARTINS"/>
    <x v="11"/>
    <m/>
    <m/>
    <m/>
    <m/>
    <s v=""/>
  </r>
  <r>
    <s v="#2000009572621869"/>
    <x v="0"/>
    <x v="33"/>
    <s v="Par Farol 7 Polegadas Led Angel Eyes Mbb 1113 1313_x000a_Lado: Ambos lados | SKU M003090LED"/>
    <s v="#4042242005"/>
    <n v="1"/>
    <n v="600"/>
    <n v="473.05"/>
    <s v="Tarifa: R$ 102,00; Frete: R$ 24,95"/>
    <s v="ALEXANDRE CATAO ZENAIDE"/>
    <s v="712.105.714-04"/>
    <s v="52030-195"/>
    <s v="RUA DJALMA FARIAS, 365"/>
    <s v="TORREÃO"/>
    <s v="RECIFE"/>
    <x v="12"/>
    <s v="CORREIOS"/>
    <s v="AN059618915BR"/>
    <d v="2025-10-20T00:00:00"/>
    <m/>
    <s v="Fora da garantia"/>
  </r>
  <r>
    <s v="#2000009464991857"/>
    <x v="0"/>
    <x v="34"/>
    <s v="Par Anel Sincronizado 4a/5a Caixa G3-60/61 - O355 O365 O364_x000a_M004428"/>
    <s v="#5070948140"/>
    <n v="1"/>
    <n v="93.22"/>
    <n v="74.150000000000006"/>
    <m/>
    <s v="MICHELL CÉLIO MARTINS LIMA"/>
    <s v="017.323.106-37"/>
    <s v="36515-000"/>
    <s v="RUA PADRE BAIÃO, 283"/>
    <s v="CENTRO"/>
    <s v="GUIDOVAL"/>
    <x v="3"/>
    <s v="CORREIOS"/>
    <s v="AN027280689BR"/>
    <d v="2025-10-10T00:00:00"/>
    <s v="11295"/>
    <s v="Fora da garantia"/>
  </r>
  <r>
    <s v="#2000013213805426"/>
    <x v="0"/>
    <x v="35"/>
    <s v="Tanque De Combustível Galvanizado 140 Litros Mercedes 1113_x000a_M006674"/>
    <s v="#4783780204"/>
    <n v="1"/>
    <n v="285.99"/>
    <n v="543.01"/>
    <m/>
    <s v="CASSIO VIDAL SCHLEDER VIEBRANTZ"/>
    <s v="013.413.790-60"/>
    <s v="99010-120"/>
    <s v="AVENIDA SETE DE SETEMBRO, 100"/>
    <s v="CENTRO"/>
    <s v="PASSO FUNDO"/>
    <x v="4"/>
    <s v="AGUIA BRANCA"/>
    <s v="11235"/>
    <d v="2025-10-06T00:00:00"/>
    <s v="11235"/>
    <s v="Fora da garantia"/>
  </r>
  <r>
    <s v="#2000013155803276"/>
    <x v="0"/>
    <x v="36"/>
    <s v="Kit Moldura Lado Esq. Lado Dir. Grade Mbb 1924 A 1934_x000a_DIR. M006934 / ESQ. M000851 / GRADE M000959"/>
    <s v="#4147135099"/>
    <n v="1"/>
    <n v="498.8"/>
    <n v="414"/>
    <s v="Tarifa: -R$ 84,80"/>
    <s v="JULIANO DE ARAÚJO"/>
    <s v="025.209.609-65"/>
    <s v="87020-750"/>
    <s v="RUA IGUAÇU"/>
    <s v="1661"/>
    <s v="VILA ESPERANÇA"/>
    <x v="7"/>
    <s v="ÁGUIA BRANCA"/>
    <s v="11218"/>
    <d v="2025-10-02T00:00:00"/>
    <s v="11218"/>
    <s v="Fora da garantia"/>
  </r>
  <r>
    <s v="#2000013095429776"/>
    <x v="0"/>
    <x v="37"/>
    <s v="Farol Sealed Beam 140mm 24v Pradolux Universal_x000a_M0010668"/>
    <s v="#4957073278"/>
    <n v="1"/>
    <n v="60.3"/>
    <n v="43.3"/>
    <s v="R$ 17 de tarifa"/>
    <s v="ANDRÉ FELIPE"/>
    <s v="147.183.197-30"/>
    <s v="26276-320"/>
    <s v="RUA SÃO LOURENÇO, 119"/>
    <s v="ROSA DOS VENTOS"/>
    <s v="NOVA IGUAÇU"/>
    <x v="5"/>
    <s v="CORREIOS"/>
    <s v="AD013140721BR"/>
    <d v="2025-09-22T00:00:00"/>
    <s v="11247"/>
    <s v="Fora da garantia"/>
  </r>
  <r>
    <s v="#2000009262679635"/>
    <x v="0"/>
    <x v="37"/>
    <s v="Tubo Flexível De Freio Traseiro 280mm_x000a_E005533"/>
    <s v="#3859451769"/>
    <n v="2"/>
    <n v="39.99"/>
    <n v="57.38"/>
    <s v="Tarifa -R$ 22,60"/>
    <s v="JOSÉ DUTRA"/>
    <s v="447.436.299-34"/>
    <s v="85408-000"/>
    <s v="RUA EUDÓXIO BADOTTI, 165"/>
    <s v="CENTRO"/>
    <s v="DIMANTE DO SUL"/>
    <x v="7"/>
    <s v="CORREIOS"/>
    <s v="AD012431158BR"/>
    <d v="2025-09-25T00:00:00"/>
    <s v="11248"/>
    <s v="Fora da garantia"/>
  </r>
  <r>
    <s v="#2000009240799579"/>
    <x v="0"/>
    <x v="38"/>
    <s v="Sprinter Tubo De Agua De Refrigeração Cdi | Mercedes-benz_x000a_M004068"/>
    <s v="#3611174137"/>
    <n v="1"/>
    <n v="630"/>
    <n v="499.45"/>
    <s v="Tarifa: -R$ 107,10 / Frete: -R$ 23,45"/>
    <s v="IVANILDE LORA"/>
    <s v="927.955.281-34"/>
    <s v="78460-576"/>
    <s v="RUA DOS CACTOS, 1201"/>
    <s v="BANDEIRANTES"/>
    <s v="LUCAS DO RIO VERDE"/>
    <x v="13"/>
    <s v="CORREIOS"/>
    <s v="AD011488465BR"/>
    <d v="2025-09-24T00:00:00"/>
    <s v="11226"/>
    <s v="Fora da garantia"/>
  </r>
  <r>
    <s v="#2000013056181014"/>
    <x v="0"/>
    <x v="39"/>
    <s v="Farol Sealed Beam 140mm 24v Pradolux Universal_x000a_M0010668"/>
    <s v="#4957073278"/>
    <n v="1"/>
    <n v="60.3"/>
    <n v="43.3"/>
    <s v="R$ 17 de tarifa"/>
    <s v="ANDRÉ FELIPE"/>
    <s v="147.183.197-30"/>
    <s v="26276-320"/>
    <s v="RUA SÃO LOURENÇO, 119"/>
    <s v="ROSA DOS VENTOS"/>
    <s v="NOVA IGUAÇU"/>
    <x v="5"/>
    <s v="CORREIOS"/>
    <s v="AD011066422BR"/>
    <d v="2025-09-17T00:00:00"/>
    <s v="11212"/>
    <s v="Fora da garantia"/>
  </r>
  <r>
    <s v="#2000012997277984"/>
    <x v="0"/>
    <x v="40"/>
    <s v="Encanamento Do Cilindro Da Embreagem Da Sprinter 415/515_x000a_M0012897"/>
    <s v="#4561957876"/>
    <n v="1"/>
    <n v="414.75"/>
    <n v="319.29000000000002"/>
    <m/>
    <s v="ANDERSON SILVA"/>
    <s v="057.014.565-10"/>
    <s v="45608-110"/>
    <s v="RUA PRESIDENTE MÉDICI, 308"/>
    <s v="SARINHA ALCÂNTARA"/>
    <s v="ITABUNA"/>
    <x v="6"/>
    <s v="CORREIOS"/>
    <s v="AM929652232BR"/>
    <d v="2025-09-19T00:00:00"/>
    <s v="11224"/>
    <s v="Fora da garantia"/>
  </r>
  <r>
    <s v="#2000012977148246"/>
    <x v="0"/>
    <x v="41"/>
    <s v="Tanque De Combustível Galvanizado 140 Litros Mercedes 1113_x000a_M006674"/>
    <s v="#4783780204"/>
    <n v="1"/>
    <n v="285.99"/>
    <n v="291.85000000000002"/>
    <m/>
    <s v="MARCOS JUNIOR"/>
    <s v="104.034.376-79"/>
    <s v="36402-272"/>
    <s v="RUA OSVALDO LOPES BARBOSA, 90 BLOCO 3_x000a_AP401"/>
    <s v="MOINHOS"/>
    <s v="CONSELHEIRO LAFAIETE"/>
    <x v="3"/>
    <s v="ÁGUIA BRANCA"/>
    <s v="11193"/>
    <d v="2025-09-15T00:00:00"/>
    <s v="11193"/>
    <s v="Fora da garantia"/>
  </r>
  <r>
    <s v="#2000009121279041"/>
    <x v="0"/>
    <x v="42"/>
    <s v="Alternador Chevette Gm Original 94645085_x000a_[SEM CÓDIGO]"/>
    <s v="#4179556159"/>
    <n v="1"/>
    <n v="870"/>
    <n v="677.65"/>
    <m/>
    <s v="EDVÂNIA CASTO DOS SANTOS"/>
    <s v="022.384.935-90"/>
    <s v="45800-000"/>
    <s v="TRAVESSA SATURNINO COSTA 33"/>
    <s v="CENTRO"/>
    <s v="BELMONTE"/>
    <x v="6"/>
    <s v="CORREIOS"/>
    <s v="AM910540132BR"/>
    <d v="2025-09-17T00:00:00"/>
    <m/>
    <s v="Fora da garantia"/>
  </r>
  <r>
    <s v="#2000012846140892"/>
    <x v="0"/>
    <x v="43"/>
    <s v="Tanque De Combustível Galvanizado 140 Litros Mercedes 1113_x000a_M006674"/>
    <s v="#4783780204"/>
    <n v="1"/>
    <n v="285.99"/>
    <n v="237.37"/>
    <s v="R$64,95 de frete"/>
    <s v="EDVALDO DOS SANTOS"/>
    <s v="303.925.038-83"/>
    <s v="14806-470"/>
    <s v="RUA LAZARO MENDES FERREIRA, 151"/>
    <s v="JARDIM INDAIA"/>
    <s v="ARARAQUARA"/>
    <x v="0"/>
    <s v="ÁGUIA BRANCA"/>
    <s v="11181"/>
    <d v="2025-09-08T00:00:00"/>
    <s v="11181"/>
    <s v="Fora da garantia"/>
  </r>
  <r>
    <s v="#2000008966611567"/>
    <x v="0"/>
    <x v="44"/>
    <s v="Tanque De Combustível Galvanizado 140 Litros Mercedes 1113_x000a_M006674"/>
    <s v="#4783780204"/>
    <n v="1"/>
    <n v="285.99"/>
    <n v="237.37"/>
    <m/>
    <s v="RENATA APARECIDA PEREIRA"/>
    <s v="086.245.536-79"/>
    <s v="36360-000"/>
    <s v="RUA VESPASIANO ARAÚJO, 115"/>
    <s v="CENTRO"/>
    <s v="CONCEIÇÃO DA BARRA DE MINAS"/>
    <x v="3"/>
    <s v="ÁGUIA BRANCA"/>
    <s v="11170"/>
    <d v="2025-09-03T00:00:00"/>
    <s v="11170"/>
    <s v="Fora da garantia"/>
  </r>
  <r>
    <s v="#2000008886588279"/>
    <x v="0"/>
    <x v="45"/>
    <s v="Sprinter Tubo De Agua De Refrigeração Cdi | Mercedes-benz_x000a_M004068"/>
    <s v="#3611174137"/>
    <n v="1"/>
    <n v="700"/>
    <n v="557.54999999999995"/>
    <m/>
    <s v="RAMON RABELO DOS PASSOS"/>
    <s v="065.500.276-67"/>
    <s v="35180-140"/>
    <s v="RUA CENTO E VINTE E NOVE, 16"/>
    <m/>
    <s v="TIMÓTEO "/>
    <x v="3"/>
    <s v="CORREIOS"/>
    <s v="AM826422759BR"/>
    <d v="2025-08-25T00:00:00"/>
    <s v="11204"/>
    <s v="Fora da garantia"/>
  </r>
  <r>
    <s v="#2000012694836392"/>
    <x v="1"/>
    <x v="46"/>
    <s v="Kit Moldura Lado Esq. Lado Dir. Grade Mbb 1924 A 1934_x000a_DIR. M006934 / ESQ. M000851 / GRADE M000959"/>
    <s v="#4147135099"/>
    <n v="1"/>
    <n v="498.8"/>
    <n v="-414"/>
    <m/>
    <s v="LORRAYNE PAIVA"/>
    <s v="055.353.771-71"/>
    <s v="78892-350"/>
    <s v="RUA SANTA ANASTÁCIA, 2039"/>
    <m/>
    <s v="SORRISO"/>
    <x v="13"/>
    <m/>
    <m/>
    <m/>
    <m/>
    <s v=""/>
  </r>
  <r>
    <s v="#2000012637483864"/>
    <x v="0"/>
    <x v="47"/>
    <s v="Sprinter Tubo De Agua De Refrigeração Cdi | Mercedes-benz_x000a_M004068"/>
    <s v="#3611174137"/>
    <n v="1"/>
    <n v="630"/>
    <n v="499.45"/>
    <m/>
    <s v="PEÇAS LUCICAR AUTO PEÇAS"/>
    <s v="07.702.923/0001-34"/>
    <s v="37901-526"/>
    <s v="RUA DOS TUPINIQUINS, 50"/>
    <s v="NOSSA SENHORA APARECIDA"/>
    <s v="PASSOS"/>
    <x v="3"/>
    <s v="CORREIOS"/>
    <s v="AC945099866BR"/>
    <d v="2025-08-14T00:00:00"/>
    <s v="11140"/>
    <s v="Fora da garantia"/>
  </r>
  <r>
    <s v="#2000012587825150"/>
    <x v="0"/>
    <x v="48"/>
    <s v="Indicador De Combustível Elétrico Turotest 300088 12v 52mm_x000a_E006531"/>
    <s v="#3789964608"/>
    <n v="1"/>
    <n v="252"/>
    <n v="211.3"/>
    <s v="R$ 23,59 de imposto."/>
    <s v="ADZ MAQUINAS"/>
    <s v="01.812.637/0001-45"/>
    <s v="13710-000"/>
    <s v="ROD. PE. DONIZETTI SP332 KM 272, SN"/>
    <m/>
    <s v="TAMBAÚ "/>
    <x v="0"/>
    <s v="CORREIOS"/>
    <s v="AM792505797BR"/>
    <d v="2025-08-15T00:00:00"/>
    <s v="11139"/>
    <s v="Fora da garantia"/>
  </r>
  <r>
    <s v="#2000008762527829"/>
    <x v="0"/>
    <x v="49"/>
    <s v="Moldura Aro Farol Lado Esquerdo 1113 2213 Cara Preta_x000a_M000847"/>
    <s v="#4127311479"/>
    <n v="1"/>
    <n v="124.18"/>
    <n v="89.32"/>
    <m/>
    <s v="LETÍCIA CHIESA CITOLIN"/>
    <s v="042.734.170-14"/>
    <s v="95975-000"/>
    <s v="LINHA SOBRA, SN"/>
    <m/>
    <s v="PUTINGA"/>
    <x v="4"/>
    <s v="CORREIOS"/>
    <s v="AM785948928BR"/>
    <d v="2025-08-19T00:00:00"/>
    <s v="11206"/>
    <s v="Fora da garantia"/>
  </r>
  <r>
    <s v="#2000012481550184"/>
    <x v="0"/>
    <x v="50"/>
    <s v="Par Farol 7 Polegadas Led Angel Eyes Mbb 1113 1313_x000a_Lado: Ambos lados | M003090LED"/>
    <s v="#4042242005"/>
    <n v="1"/>
    <n v="528"/>
    <n v="413.29"/>
    <m/>
    <s v="CLAUDIR MARIO TOMAZI"/>
    <s v="502.408.469-15"/>
    <s v="78565-000"/>
    <s v="RUA LIDIA ROSA DALLAGNOL, 69"/>
    <s v="JAPURANÃ"/>
    <s v="NOVA BANDEIRANTES"/>
    <x v="13"/>
    <s v="CORREIOS"/>
    <s v="AM757523658BR"/>
    <d v="2025-08-20T00:00:00"/>
    <s v="11207"/>
    <s v="Fora da garantia"/>
  </r>
  <r>
    <s v="#2000012411332616"/>
    <x v="0"/>
    <x v="51"/>
    <s v="Tanque De Combustível Galvanizado 140 Litros Mercedes 1113_x000a_M006674"/>
    <s v="#4783780204"/>
    <n v="1"/>
    <n v="285.99"/>
    <n v="299.45"/>
    <s v="R$ 62,08 de  Frete que o cliente pagou"/>
    <s v="DAZIO MANOEL DA SILVA"/>
    <s v="705.669.094-72"/>
    <s v="48906-806"/>
    <s v="RUA MARQUEZA, 11"/>
    <s v="ITABERABA"/>
    <s v="JUAZEIRO"/>
    <x v="6"/>
    <s v="ÁGUIA BRANCA"/>
    <s v="11108"/>
    <d v="2025-08-06T00:00:00"/>
    <s v="11108"/>
    <s v="Fora da garantia"/>
  </r>
  <r>
    <s v="#2000012323641854"/>
    <x v="1"/>
    <x v="52"/>
    <s v="Tanque De Combustível Galvanizado 140 Litros Mercedes 1113_x000a_M006674"/>
    <s v="#4783780204"/>
    <n v="1"/>
    <n v="258.99"/>
    <n v="-237.37"/>
    <s v="Cancelou porque se arrependeu."/>
    <s v="EDER FREIRE DE ARAUJO"/>
    <s v="465.964.376-04"/>
    <s v="35125-000"/>
    <s v="MARIA INÁCIO, 1040"/>
    <m/>
    <s v="TUMIRITINGA "/>
    <x v="3"/>
    <m/>
    <m/>
    <m/>
    <m/>
    <s v=""/>
  </r>
  <r>
    <s v="#2000012228946746"/>
    <x v="0"/>
    <x v="53"/>
    <s v="Farol Sealed Beam 140mm 24v Pradolux Universal_x000a_M0010668"/>
    <s v="#4957073278"/>
    <n v="1"/>
    <n v="60.3"/>
    <n v="44.64"/>
    <s v="Tarifa de vendas R$17"/>
    <s v="HELIANA DUARTE"/>
    <s v="288.118.105-82"/>
    <s v="42600-000"/>
    <s v="RUA DAS ALGAS, 119"/>
    <s v="CENTRO"/>
    <s v="MADRE DE DEUS"/>
    <x v="6"/>
    <s v="CORREIOS"/>
    <s v="AM664109276BR"/>
    <d v="2025-07-15T00:00:00"/>
    <s v="11111"/>
    <s v="Fora da garantia"/>
  </r>
  <r>
    <s v="#2000012158086240"/>
    <x v="0"/>
    <x v="54"/>
    <s v="Tanque De Combustível Galvanizado 140 Litros Mercedes 1113_x000a_M006674"/>
    <s v="#4783780204"/>
    <n v="1"/>
    <n v="285.99"/>
    <n v="237.37"/>
    <s v="Tarifa de venda R$48,62."/>
    <s v="REGIANE APARECIDA"/>
    <s v="508.078.018-52"/>
    <s v="12234-620"/>
    <s v="RUA JURANDIR PEREIRA, 46"/>
    <s v="CONJ ELMANO FERREIRA"/>
    <s v="SÃO JOSÉ DOS CAMPOS"/>
    <x v="0"/>
    <s v="ÁGUIA BRANCA"/>
    <s v="11072"/>
    <d v="2025-07-14T00:00:00"/>
    <s v="11072"/>
    <s v="Fora da garantia"/>
  </r>
  <r>
    <s v="#2000012147230678"/>
    <x v="0"/>
    <x v="55"/>
    <s v="Tanque De Combustível Galvanizado 140 Litros Mercedes 1113_x000a_M006674"/>
    <s v="#4783780204"/>
    <n v="1"/>
    <n v="285.99"/>
    <n v="237.37"/>
    <s v="Tarifa de venda R$48,62."/>
    <s v="DANILO HENRIQUE JESUS TEIXEIRA"/>
    <s v="387.306.308-51"/>
    <s v="13148-180"/>
    <s v="RUA ARMANDO BOTASSO"/>
    <s v="SANTA TEREZINHA 2"/>
    <s v="PAULÍNIA"/>
    <x v="0"/>
    <s v="ÁGUIA BRANCA"/>
    <s v="11068"/>
    <d v="2025-07-10T00:00:00"/>
    <s v="11068"/>
    <s v="Fora da garantia"/>
  </r>
  <r>
    <s v="#2000008344539473"/>
    <x v="0"/>
    <x v="56"/>
    <s v="Cabeçote Chevette 1.4 1.6 8v Válvula Gm Original_x000a_M005613"/>
    <s v="#5371975268"/>
    <n v="1"/>
    <n v="1500"/>
    <n v="1289.45"/>
    <s v="Frete R$ 49,30"/>
    <s v="LEANDRO GONCALVES LIMA "/>
    <s v="101.437.557-65"/>
    <s v="29302-150"/>
    <s v="RUA JORDÃO PASSAMAI, 21_x000a_BECO AO LADO DO ACOUGUE"/>
    <s v="ZUMBI"/>
    <s v="CACHOEIRO DE ITAPEMIRIM"/>
    <x v="14"/>
    <s v="ÁGUIA BRANCA"/>
    <s v="11053"/>
    <d v="2025-07-07T00:00:00"/>
    <s v="11053"/>
    <s v="Fora da garantia"/>
  </r>
  <r>
    <s v="#2000012020985942"/>
    <x v="0"/>
    <x v="57"/>
    <s v="Boia De Comb. 70l 704 Tanque Redondo 3085427017_x000a_M000559"/>
    <s v="#2708946936"/>
    <n v="1"/>
    <n v="168"/>
    <n v="126.74"/>
    <m/>
    <s v="MARCOS ZUZA ALVES LARA"/>
    <s v="480.430.648-06"/>
    <s v="02068-030"/>
    <s v="RUA DOS CAMARÉS, 150_x000a_BLOCO 3, AP 25"/>
    <s v="CARANDIRU"/>
    <s v="SÃO PAULO"/>
    <x v="0"/>
    <s v="CORREIOS"/>
    <s v="AM628820656BR"/>
    <d v="2025-07-04T00:00:00"/>
    <s v="11075"/>
    <s v="Fora da garantia"/>
  </r>
  <r>
    <s v="#2000011929269162"/>
    <x v="0"/>
    <x v="58"/>
    <s v="Tanque De Combustível Galvanizado 140 Litros Mercedes 1113_x000a_M006674"/>
    <s v="#4783780204"/>
    <n v="1"/>
    <n v="285.99"/>
    <n v="237.37"/>
    <s v="Tarifa de venda R$48,62."/>
    <s v="JOSÉ ANTÔNIO SOUZA"/>
    <s v="705.085.777-72"/>
    <s v="29146-784"/>
    <s v="RUA SANTOS DUMONT, 35"/>
    <s v="VERA CRUZ"/>
    <s v="CARIACICA"/>
    <x v="14"/>
    <s v="ÁGUIA BRANCA"/>
    <s v="11026"/>
    <d v="2025-06-17T00:00:00"/>
    <s v="11026"/>
    <s v="Fora da garantia"/>
  </r>
  <r>
    <s v="#2000008027192943"/>
    <x v="1"/>
    <x v="59"/>
    <s v="Encanamento Do Cilindro Da Embreagem Da Sprinter 415/515_x000a_M0012897"/>
    <m/>
    <n v="1"/>
    <n v="414.75"/>
    <n v="-321.79000000000002"/>
    <s v="A pessoa que comprou cancelou porque não podia esperar o produto."/>
    <s v="RUAN PATRICK GONÇALVES SOARES GONÇALVES"/>
    <s v="121.948.196-30"/>
    <s v="37413-668"/>
    <s v="RUA CINCO 213"/>
    <s v="VILA BELA"/>
    <s v="TRÊS CORAÇÕES"/>
    <x v="3"/>
    <m/>
    <m/>
    <m/>
    <m/>
    <s v=""/>
  </r>
  <r>
    <s v="#2000007922671053"/>
    <x v="0"/>
    <x v="60"/>
    <s v="Farol Sealed Beam 140mm 24v Pradolux Universal_x000a_M0010668"/>
    <s v="#4957073278"/>
    <n v="4"/>
    <n v="241.2"/>
    <n v="178.56"/>
    <m/>
    <s v="CLOVIS HUBNER LEITE"/>
    <s v="001.228.346-07"/>
    <s v="36955-000"/>
    <s v="RUA OSCAR MIGUEL, 64"/>
    <s v="OCIDENTE"/>
    <s v="MUTUM"/>
    <x v="3"/>
    <s v="CORREIOS"/>
    <s v="AM486154855BR"/>
    <d v="2025-06-12T00:00:00"/>
    <s v="11112"/>
    <s v="Fora da garantia"/>
  </r>
  <r>
    <s v="#2000011630707120"/>
    <x v="0"/>
    <x v="61"/>
    <s v="Frontal Farol Externo Mb 608, 708 72 A 88 Ld 3086277201_x000a_M000758"/>
    <s v="#4032310365"/>
    <n v="1"/>
    <n v="999"/>
    <n v="829.17"/>
    <s v="Comprador pagou R$ 80 de frete"/>
    <s v="SIMÃO PEDRO FERREIRA RESENDE"/>
    <s v="088.708.976-30"/>
    <s v="38442-190"/>
    <s v="RUA LUIZ OTÁVIO DE FARIA, 277"/>
    <s v="GOIÁS"/>
    <s v="ARAGUARI"/>
    <x v="3"/>
    <s v="ÁGUIA BRANCA"/>
    <s v="10972"/>
    <d v="2025-05-21T00:00:00"/>
    <s v="10972"/>
    <s v="Fora da garantia"/>
  </r>
  <r>
    <s v="#2000007706798515"/>
    <x v="0"/>
    <x v="62"/>
    <s v="Sprinter Alavanca De Freio De Mão Cdi_x000a_M0011146"/>
    <s v="#3738471296"/>
    <n v="1"/>
    <n v="697"/>
    <n v="555.05999999999995"/>
    <m/>
    <s v="RUBENS GABRIEL P DO CARMO"/>
    <s v="002.744.300-02"/>
    <s v="93035-540"/>
    <s v="RUA JAIME CAETANO BRAUN, 270_x000a_CONDOMINIO PORTO SEGURO II CASA 12"/>
    <s v="FAZENDA SÃO BORJA"/>
    <s v="SÃO LEOPOLDO"/>
    <x v="4"/>
    <s v="CORREIOS"/>
    <s v="AM349408990BR"/>
    <d v="2025-05-06T00:00:00"/>
    <s v="11003"/>
    <s v="Fora da garantia"/>
  </r>
  <r>
    <s v="#2000007653044411"/>
    <x v="0"/>
    <x v="63"/>
    <s v="Farol Sealed Beam 140mm 24v Pradolux Universal_x000a_M0010668"/>
    <s v="#4957073278"/>
    <n v="2"/>
    <n v="120.6"/>
    <n v="89.28"/>
    <m/>
    <s v="LUIZ CARLOS CASAGRANDE FILHO"/>
    <s v="033.424.699-78"/>
    <s v="81130-220"/>
    <s v="RUA MARECHAL OCTÁVIO SALDANHA MAZZA, 6650_x000a_BLOCO 3 AP 304"/>
    <s v="CAPÃO RASO"/>
    <s v="CURITIBA"/>
    <x v="7"/>
    <s v="CORREIOS"/>
    <s v="AM325441086BR"/>
    <d v="2025-04-28T00:00:00"/>
    <s v="10931"/>
    <s v="Fora da garantia"/>
  </r>
  <r>
    <s v="#2000007634669919"/>
    <x v="0"/>
    <x v="64"/>
    <s v="Encanamento Do Cilindro Da Embreagem Da Sprinter 415/515_x000a_M0012897"/>
    <s v="#4561957876"/>
    <n v="1"/>
    <n v="414.75"/>
    <n v="321.79000000000002"/>
    <m/>
    <s v="CHIARA VIANA"/>
    <s v="739.567.915-68"/>
    <s v="45000-400"/>
    <s v="RUA GOES CALMON, 118_x000a_1 ANDAR SALA 109"/>
    <s v="CENTRO"/>
    <s v="VITÓRIA DA CONQUISTA"/>
    <x v="6"/>
    <s v="CORREIOS"/>
    <s v="AM315169244BR"/>
    <d v="2025-04-23T00:00:00"/>
    <s v="10914"/>
    <s v="Fora da garantia"/>
  </r>
  <r>
    <s v="#2000007623220333"/>
    <x v="0"/>
    <x v="65"/>
    <s v="Par Terminal Direção L. Esq E Dir. Sprinter 416 / 516 2020_x000a_L. Esq.: M0012678 / L. Dir.: M0012679"/>
    <s v="#3989307807"/>
    <n v="1"/>
    <n v="499.99"/>
    <n v="391.54"/>
    <m/>
    <s v="THIAGO VASCONCELOS"/>
    <s v="019.878.481-36"/>
    <s v="79558-000"/>
    <s v="SEBASTIÃO MARTINS GONZAGA, SN"/>
    <s v="DISTRITO POUSO ALTO"/>
    <s v="PARAÍSO DAS AGUAS"/>
    <x v="15"/>
    <s v="CORREIOS"/>
    <s v="AM30840597BR"/>
    <d v="2025-05-02T00:00:00"/>
    <s v="10907"/>
    <s v="Fora da garantia"/>
  </r>
  <r>
    <s v="#2000011223376744"/>
    <x v="1"/>
    <x v="66"/>
    <s v="Tanque De Combustível Galvanizado 140 Litros Mercedes 1113_x000a_M006674"/>
    <m/>
    <n v="1"/>
    <n v="285.99"/>
    <n v="-237.37"/>
    <s v="Cliente cancelou pois não foi informado o valor do frete. Foi reembolsado."/>
    <s v="PAULO REBOLO"/>
    <s v="974.235.808-72"/>
    <s v="15804-145"/>
    <s v="RUA JOÃO PESSOA, 200"/>
    <s v="VILA BELA"/>
    <s v="CATANDUVA "/>
    <x v="0"/>
    <m/>
    <m/>
    <m/>
    <m/>
    <s v=""/>
  </r>
  <r>
    <s v="#2000011180230350"/>
    <x v="0"/>
    <x v="67"/>
    <s v="Boia Tanque Mb Sprinter 310d /312d /311cdi /313cdi /412cdi_x000a_M008636"/>
    <s v="#2708946936"/>
    <n v="1"/>
    <n v="2280"/>
    <n v="1865.45"/>
    <m/>
    <s v="LEANDRO CAVALCANTI"/>
    <s v="339.155.468-10"/>
    <s v="24717-470"/>
    <s v="RUA MARECHAL FOX, SN"/>
    <s v="JARDIM CATARINA"/>
    <s v="SÃO GONÇALO"/>
    <x v="5"/>
    <s v="CORREIOS"/>
    <s v="AC441289415BR"/>
    <d v="2025-04-02T00:00:00"/>
    <n v="10873"/>
    <s v="Fora da garantia"/>
  </r>
  <r>
    <s v="#2000007416258225"/>
    <x v="0"/>
    <x v="68"/>
    <s v="Farol Sealed Beam 140mm 24v Pradolux Universal_x000a_M0010668"/>
    <s v="#4957073278"/>
    <n v="4"/>
    <n v="59.63"/>
    <n v="170.96"/>
    <s v="Descontado -R$ 67,56 da tarifa de venda"/>
    <s v="LEANDRO CHIORATO"/>
    <s v="290.799.928-10"/>
    <s v="09831-115"/>
    <s v="ESTRADA SERVIDÃO PÚBLICA PERPÉTUA, 450"/>
    <s v="FINCO"/>
    <s v="SÃO BERNARDO DO CAMPO"/>
    <x v="0"/>
    <s v="CORREIOS"/>
    <s v="AM199968427BR"/>
    <d v="2025-03-25T00:00:00"/>
    <n v="10846"/>
    <s v="Fora da garantia"/>
  </r>
  <r>
    <s v="#2000011062941566"/>
    <x v="0"/>
    <x v="69"/>
    <s v="Sprinter tubo de agua de refrigeração cdi | mercedes-benz_x000a_M004068"/>
    <s v="#3611174137"/>
    <n v="1"/>
    <n v="630"/>
    <n v="499.45"/>
    <m/>
    <s v="MATHEUS BRÜGGER"/>
    <s v="178.223.977-45"/>
    <s v="24110-260"/>
    <s v="RUA GALVÃO, 54"/>
    <s v="BARRETO"/>
    <s v="NITERÓI"/>
    <x v="5"/>
    <s v="CORREIOS"/>
    <s v="AC392126250BR"/>
    <d v="2025-03-20T00:00:00"/>
    <s v="10843"/>
    <s v="Fora da garantia"/>
  </r>
  <r>
    <s v="#2000007389341663"/>
    <x v="0"/>
    <x v="70"/>
    <s v="Farol Sealed Beam 140mm 24v Pradolux Universal_x000a_M0010668"/>
    <s v="#4957073278"/>
    <n v="1"/>
    <n v="59.63"/>
    <n v="42.74"/>
    <m/>
    <s v="LEANDRO CHIORATO"/>
    <s v="290.799.928-10"/>
    <s v="09831-115"/>
    <s v="ESTRADA SERVIDÃO PÚBLICA PERPÉTUA, 450"/>
    <s v="FINCO"/>
    <s v="SÃO BERNARDO DO CAMPO"/>
    <x v="0"/>
    <s v="CORREIOS"/>
    <s v="AC380574644BR"/>
    <d v="2025-03-18T00:00:00"/>
    <s v="10837"/>
    <s v="Fora da garantia"/>
  </r>
  <r>
    <s v="#2000011015268300"/>
    <x v="0"/>
    <x v="71"/>
    <s v="Porta Completa Esquerda Mb 608 708 Agl - Vidro De Correr_x000a_M006975"/>
    <s v="#3920869323"/>
    <n v="1"/>
    <n v="1865.6"/>
    <n v="1691.71"/>
    <s v="Acréscimo de R$ 143,26 do frete."/>
    <s v="RICARDO HOMOTIUK"/>
    <s v="224.679.368-80"/>
    <s v="02310-000"/>
    <s v="AVENIDA MAZZEI, 146"/>
    <s v="MAZZEI"/>
    <s v="SÃO PAULO"/>
    <x v="0"/>
    <s v="SPEED WORK"/>
    <m/>
    <d v="2025-03-17T00:00:00"/>
    <s v="10820"/>
    <s v="Fora da garantia"/>
  </r>
  <r>
    <s v="#2000007366574631"/>
    <x v="0"/>
    <x v="72"/>
    <s v="Sprinter Tubo De Agua De Refrigeração Cdi | Mercedes-benz_x000a_M004068"/>
    <s v="#3611174137"/>
    <n v="1"/>
    <n v="630"/>
    <n v="499.45"/>
    <m/>
    <s v="OZELI PIRES"/>
    <s v="268.005.208-02"/>
    <s v="11925-000"/>
    <s v="AV.BEIRA MAR"/>
    <s v="CENTRO"/>
    <s v="ILHA COMPRIDA"/>
    <x v="0"/>
    <s v="CORREIOS"/>
    <s v="AM169425458BR"/>
    <d v="2025-03-18T00:00:00"/>
    <m/>
    <s v="Fora da garantia"/>
  </r>
  <r>
    <s v="#2000010991724522"/>
    <x v="1"/>
    <x v="73"/>
    <s v="Capa Câmbio De Marcha Moletom Com Capuz Preto E Vermelho"/>
    <m/>
    <n v="1"/>
    <n v="26.86"/>
    <n v="-16.04"/>
    <m/>
    <s v="MARCELO MARINHO"/>
    <s v="426.132.878-02"/>
    <s v="13173-425"/>
    <s v="RUA AGOSTINHO GAGLIERA, 345"/>
    <s v="SUMARÉ"/>
    <s v="SUMARÉ"/>
    <x v="0"/>
    <m/>
    <m/>
    <m/>
    <m/>
    <s v=""/>
  </r>
  <r>
    <s v="#2000010940515752"/>
    <x v="0"/>
    <x v="74"/>
    <s v="Tanque De Combustível Galvanizado 140 Litros Mercedes 1113_x000a_M006674"/>
    <s v="#4783780204"/>
    <n v="1"/>
    <n v="285.99"/>
    <n v="309"/>
    <s v="Acréscimo de R$ 71,63 do frete."/>
    <s v="JOÃO ANDRE DOMINGOS"/>
    <s v="580.406.686-20"/>
    <s v="37890-000"/>
    <s v="RUI BARBOSA, 200"/>
    <s v="MUZAMBINHO "/>
    <s v="MUZAMBINHO "/>
    <x v="3"/>
    <s v="ÁGUIA BRANCA"/>
    <n v="10805"/>
    <d v="2025-03-18T00:00:00"/>
    <s v="10805"/>
    <s v="Fora da garantia"/>
  </r>
  <r>
    <s v="#2000007270846767"/>
    <x v="0"/>
    <x v="75"/>
    <s v="Terminal Direção L. Esquerdo Sprinter 416 / 516 2020"/>
    <s v="#3461036295"/>
    <n v="1"/>
    <n v="500"/>
    <n v="368.1"/>
    <m/>
    <s v="UNIÃO DE TRANSPORTES TUPANTUR"/>
    <s v="01.817.461/0001-14"/>
    <s v="95775-000"/>
    <s v="AVENIDA SALVADOR, 618"/>
    <m/>
    <s v="TUPANDI"/>
    <x v="4"/>
    <s v="CORREIOS"/>
    <s v="AM111430542BR"/>
    <d v="2025-03-17T00:00:00"/>
    <s v="10798"/>
    <s v="Fora da garantia"/>
  </r>
  <r>
    <s v="#2000010808305594"/>
    <x v="2"/>
    <x v="76"/>
    <s v="Cabo Velocímetro Ducato Boxer Jumper 2001 Cabovel 149105"/>
    <m/>
    <n v="1"/>
    <n v="77.52"/>
    <n v="-61.47"/>
    <m/>
    <s v="THAIS MORAIS SALGUEIRO GUERRA"/>
    <s v="091.659.386-07"/>
    <s v="27931-081"/>
    <s v="RUA PROFESSORA NEIDE LIMA, SN  - QD 36 LOT 11"/>
    <m/>
    <s v="MACAÉ"/>
    <x v="5"/>
    <s v="CORREIOS"/>
    <s v="AM082815375BR"/>
    <d v="2025-03-10T00:00:00"/>
    <m/>
    <s v="Fora da garantia"/>
  </r>
  <r>
    <s v="#2000007202509359"/>
    <x v="0"/>
    <x v="77"/>
    <s v="Par Anel Sincronizado 4a/5a Caixa G3-60/61 - O355 O365 O364"/>
    <s v="#5070948140"/>
    <n v="1"/>
    <n v="96.1"/>
    <n v="62.12"/>
    <m/>
    <s v="MICHELL CÉLIO MARTINS LIMA"/>
    <s v="017.323.106-37"/>
    <s v="36515-000"/>
    <s v="RUA PADRE BAIÃO, 283"/>
    <s v="CENTRO"/>
    <s v="GUIDOVAL"/>
    <x v="3"/>
    <s v="CORREIOS"/>
    <s v="AM068737099BR"/>
    <d v="2025-02-24T00:00:00"/>
    <s v="10773"/>
    <s v="Fora da garantia"/>
  </r>
  <r>
    <s v="#2000010749721050"/>
    <x v="2"/>
    <x v="78"/>
    <s v="Sprinter Tubo De Agua De Refrigeração Cdi | Mercedes-benz"/>
    <m/>
    <n v="1"/>
    <n v="630"/>
    <n v="-497.95"/>
    <s v="Comprador não quis mais o produto"/>
    <s v="ADRIANO FERNANDES"/>
    <s v="218.938.728-07"/>
    <s v="11693-002"/>
    <s v="RUA FREI TARCÍSIO CORRÊA, 715"/>
    <s v="MINERADORA"/>
    <s v="UBATUBA "/>
    <x v="0"/>
    <s v="CORREIOS"/>
    <s v="AM082815375BR"/>
    <d v="2025-03-10T00:00:00"/>
    <m/>
    <s v="Fora da garantia"/>
  </r>
  <r>
    <s v="#2000007178572815"/>
    <x v="0"/>
    <x v="79"/>
    <s v="Terminal Direção L. Esquerdo Sprinter 416 / 516 2020 ..."/>
    <s v="#3461036295"/>
    <n v="2"/>
    <n v="500"/>
    <n v="368.1"/>
    <m/>
    <s v="UNIÃO DE TRANSPORTES TUPANTUR"/>
    <s v="01.817.461/0001-14"/>
    <s v="95775-000"/>
    <s v="AVENIDA SALVADOR, 618"/>
    <m/>
    <s v="TUPANDI"/>
    <x v="4"/>
    <s v="CORREIOS"/>
    <s v="AM051196757BR"/>
    <d v="2025-02-20T00:00:00"/>
    <s v="10758"/>
    <s v="Fora da garantia"/>
  </r>
  <r>
    <s v="#2000010644313686"/>
    <x v="0"/>
    <x v="80"/>
    <s v="Tanque De Combustível Galvanizado 140 Litros Mercedes 1113"/>
    <s v="#4783780204"/>
    <n v="1"/>
    <n v="285.99"/>
    <n v="237.37"/>
    <m/>
    <s v="LILIAN SILVA"/>
    <s v="342.864.538-39"/>
    <s v="05726-130"/>
    <s v="RUA JOSÉ DA SILVA RIBEIRO, 420"/>
    <s v="VILA ANDRADE"/>
    <s v="SÃO PAULO"/>
    <x v="0"/>
    <s v="ÁGUIA BRANCA"/>
    <n v="10751"/>
    <d v="2025-02-10T00:00:00"/>
    <s v="10751"/>
    <s v="Fora da garantia"/>
  </r>
  <r>
    <s v="#2000010618385150"/>
    <x v="0"/>
    <x v="81"/>
    <s v="Sprinter Tubo De Agua De Refrigeração Cdi | Mercedes-benz"/>
    <s v="#3611174137"/>
    <n v="1"/>
    <n v="700"/>
    <n v="556.04999999999995"/>
    <m/>
    <s v="WESLEY MACHADO GUIMARAES"/>
    <s v="879.003.606-97"/>
    <s v="35057-450"/>
    <s v="AVENIDA LISBOA, 455"/>
    <s v="GRÃ-DUQUESA"/>
    <s v="GOVERNADOR VALADARES"/>
    <x v="0"/>
    <s v="CORREIOS"/>
    <s v="AM011839586BR"/>
    <d v="2025-02-10T00:00:00"/>
    <m/>
    <s v="Fora da garantia"/>
  </r>
  <r>
    <s v="#2000010577079472"/>
    <x v="1"/>
    <x v="82"/>
    <s v="Tanque De Combustível Galvanizado 140 Litros Mercedes 1113"/>
    <m/>
    <n v="1"/>
    <n v="285.99"/>
    <n v="-127.92"/>
    <s v="Cliente desistiu da compra"/>
    <s v="GUILHERME SIQUEIRA"/>
    <s v="449.677.388-00"/>
    <s v="13973-500"/>
    <s v="RUA BENEDITO AMÂNCIO DE CAMARGO, 187"/>
    <s v="JARDIM GUARUJA"/>
    <s v="ITAPIRA "/>
    <x v="0"/>
    <m/>
    <m/>
    <m/>
    <s v="10723"/>
    <s v=""/>
  </r>
  <r>
    <s v="#2000010570573102"/>
    <x v="0"/>
    <x v="83"/>
    <s v="Par Anel Sincronizado 4a/5a Caixa G3-60/61 - O355 O365 O364"/>
    <s v="#5070948140"/>
    <n v="1"/>
    <n v="96.1"/>
    <n v="62.12"/>
    <m/>
    <s v="JOÃO MAURO ALVES MELO"/>
    <s v="608.770.492-20"/>
    <s v="67143-490"/>
    <s v="TRAVESSA WE-73-A, 1921"/>
    <s v="COQUEIRO"/>
    <s v="_x0009_ANANINDEUA"/>
    <x v="11"/>
    <s v="CORREIOS"/>
    <s v="AL991926670BR"/>
    <d v="2025-02-04T00:00:00"/>
    <s v="10721"/>
    <s v="Fora da garantia"/>
  </r>
  <r>
    <s v="#2000007061997799"/>
    <x v="0"/>
    <x v="84"/>
    <s v="Par Pistão Para Motor Om366la Forjado E Repotenciado Mtu"/>
    <s v="#2033240940"/>
    <n v="3"/>
    <n v="1750"/>
    <n v="4490.8500000000004"/>
    <m/>
    <s v="ALEXANDRO DE LARA"/>
    <s v="034.569.039-79"/>
    <s v="83413-700"/>
    <s v="RUA LEONILDA SIBILA NADOLNY, 470"/>
    <s v="MAUÁ"/>
    <s v="COLOMBO "/>
    <x v="7"/>
    <s v="CORREIOS"/>
    <s v="OV933992759BR"/>
    <d v="2025-01-28T00:00:00"/>
    <s v="10714"/>
    <s v="Fora da garantia"/>
  </r>
  <r>
    <s v="#2000010409202596"/>
    <x v="0"/>
    <x v="85"/>
    <s v="Kit - Boia Tanque Mb Sprinter + Borracha Da Boia Do Tanque"/>
    <s v="#4582230258"/>
    <n v="1"/>
    <n v="2439.6"/>
    <n v="1982.92"/>
    <m/>
    <s v="MARCELO ALEXANDRE FERREIRA"/>
    <s v="255.635.818-10"/>
    <s v="13405-434"/>
    <s v="RUA JUSTO MORETI,132"/>
    <s v="JARDIM ALGODOAL"/>
    <s v="PIRACICABA"/>
    <x v="0"/>
    <s v="CORREIOS"/>
    <s v="AA856776256BR"/>
    <d v="2025-01-10T00:00:00"/>
    <s v="10686"/>
    <s v="Fora da garantia"/>
  </r>
  <r>
    <s v="#2000010398578502"/>
    <x v="1"/>
    <x v="86"/>
    <s v="Boia Tanque Mb Sprinter 310d /312d /311cdi /313cdi /412cdi"/>
    <m/>
    <n v="1"/>
    <n v="2280"/>
    <n v="-1867.45"/>
    <m/>
    <s v="ARCO IRIS LTDA "/>
    <s v="02.225.153/0001-62"/>
    <s v="32600-432"/>
    <s v="RUA PAULO AFONSO, 33"/>
    <s v="BRASILÉIA"/>
    <s v="BETIM"/>
    <x v="3"/>
    <m/>
    <m/>
    <m/>
    <m/>
    <s v=""/>
  </r>
  <r>
    <s v="#2000010400479034"/>
    <x v="1"/>
    <x v="86"/>
    <s v="Porta Completa Esquerda Mb 608 708 Agl - Vidro De Correr"/>
    <m/>
    <n v="1"/>
    <n v="1865.59"/>
    <n v="-1548.44"/>
    <s v="Cliente não sabia que tinha que pagar o frete (a combinar)"/>
    <s v="ELIEUCIO PAIVA"/>
    <s v="392.341.502-87"/>
    <m/>
    <m/>
    <m/>
    <m/>
    <x v="16"/>
    <m/>
    <m/>
    <m/>
    <m/>
    <s v=""/>
  </r>
  <r>
    <s v="#2000010404120196"/>
    <x v="0"/>
    <x v="86"/>
    <s v="Boia Tanque Mb Sprinter 310d /312d /311cdi /313cdi /412cdi"/>
    <s v="#2708946936"/>
    <n v="1"/>
    <n v="2280"/>
    <n v="1867.45"/>
    <m/>
    <s v="PAULO GOMES"/>
    <s v="169.609.698-75"/>
    <s v="11461-090"/>
    <s v="RUA SÃO JOÃO, 1121"/>
    <m/>
    <s v="GUARUJÁ "/>
    <x v="0"/>
    <s v="CORREIOS"/>
    <s v="AL927590075BR"/>
    <d v="2025-01-13T00:00:00"/>
    <s v="10685"/>
    <s v="Fora da garantia"/>
  </r>
  <r>
    <s v="#2000010095910860"/>
    <x v="0"/>
    <x v="87"/>
    <s v="Sensor De Óleo 0 A 25 Bar Rosca 1/8"/>
    <s v="#4764002380"/>
    <n v="1"/>
    <n v="1599.99"/>
    <n v="1305.04"/>
    <m/>
    <s v="MARCELO MAGALHAES"/>
    <s v="305.161.768-70"/>
    <s v="05679-165"/>
    <s v="RUA DOUTOR ALBERTO LYRA, 345"/>
    <s v="JARDIM PANORAMA"/>
    <s v="SÃO PAULO"/>
    <x v="0"/>
    <s v="CORREIOS"/>
    <s v="AA551940054BR"/>
    <d v="2024-12-11T00:00:00"/>
    <s v="10626"/>
    <s v="Fora da garantia"/>
  </r>
  <r>
    <s v="#2000009973490088"/>
    <x v="1"/>
    <x v="88"/>
    <s v="Cabo Velocímetro Ducato Boxer Jumper 2001 Cabovel 149105"/>
    <m/>
    <n v="1"/>
    <n v="60"/>
    <n v="-46.8"/>
    <m/>
    <s v="KAROLENE MATOS BRANDÃO"/>
    <s v="038.505.213-89"/>
    <s v="64016-700"/>
    <s v="RUA DR ÁREA LEÃO, 2069"/>
    <m/>
    <s v="TERESINA"/>
    <x v="17"/>
    <m/>
    <m/>
    <m/>
    <m/>
    <s v=""/>
  </r>
  <r>
    <s v="#2000009973724384"/>
    <x v="2"/>
    <x v="88"/>
    <s v="Cabo Velocímetro Ducato Boxer Jumper 2001 Cabovel 149105"/>
    <m/>
    <n v="1"/>
    <n v="60"/>
    <n v="-46.8"/>
    <s v="O comprador disse que o produto não era compatível com seu veículo."/>
    <s v="KAROLENE MATOS BRANDÃO"/>
    <s v="038.505.213-89"/>
    <s v="64016-700"/>
    <s v="RUA DR ÁREA LEÃO, 2069"/>
    <m/>
    <s v="TERESINA"/>
    <x v="17"/>
    <s v="CORREIOS"/>
    <s v="QN120898418BR"/>
    <d v="2025-01-03T00:00:00"/>
    <m/>
    <s v="Fora da garantia"/>
  </r>
  <r>
    <s v="#2000009955630272"/>
    <x v="0"/>
    <x v="89"/>
    <s v="Encanamento Do Cilindro Da Embreagem Da Sprinter 415/515"/>
    <s v="#4561957876"/>
    <n v="1"/>
    <n v="419.99"/>
    <n v="327.14"/>
    <m/>
    <s v="MORGANA OLIVEIRA"/>
    <s v="029.227.453-09"/>
    <s v="60871-475"/>
    <s v="RUA COPÉRNICO, 179"/>
    <s v="MESSEJANA"/>
    <s v="FORTALEZA"/>
    <x v="8"/>
    <s v="CORREIOS"/>
    <s v="AA481418440BR"/>
    <d v="2024-11-30T00:00:00"/>
    <s v="10598"/>
    <s v="Fora da garantia"/>
  </r>
  <r>
    <s v="#2000009717600766"/>
    <x v="0"/>
    <x v="90"/>
    <s v="Tubo De Retorno Bico Injetor Sprinter 311/313 A6110708432"/>
    <s v="#4477807312"/>
    <n v="1"/>
    <n v="380.7"/>
    <n v="295.52999999999997"/>
    <m/>
    <s v="ALEX DE SANTANA"/>
    <s v="297.164.258-56"/>
    <s v="05853-310"/>
    <s v="RUA HOLDA BOTTO MALANCONI, 13 "/>
    <s v="JARDIM DUPRAT"/>
    <s v="SÃO PAULO"/>
    <x v="0"/>
    <s v="CORREIOS"/>
    <s v="AK625128684BR"/>
    <d v="2024-11-13T00:00:00"/>
    <s v="10553"/>
    <s v="Fora da garantia"/>
  </r>
  <r>
    <s v="#2000009557463192"/>
    <x v="0"/>
    <x v="91"/>
    <s v="Farol Para Ducato 94/05, Boxer 97/04 Lado Esquerdo E Direito"/>
    <s v="#3739003915"/>
    <n v="1"/>
    <n v="373.1"/>
    <n v="284.72000000000003"/>
    <m/>
    <s v="ARQUIMEDES DA SILVA DA SILVA"/>
    <s v="856.354.644-91"/>
    <s v="54280-547"/>
    <s v="RUA TIAGUÁ, 15"/>
    <s v="DOIS CARNEIROS"/>
    <s v="JABOATÃO DOS GUARARAPES"/>
    <x v="0"/>
    <s v="CORREIOS"/>
    <s v="AA292700979BR"/>
    <d v="2024-10-16T00:00:00"/>
    <s v="10516"/>
    <s v="Fora da garantia"/>
  </r>
  <r>
    <s v="#2000009396380760"/>
    <x v="0"/>
    <x v="92"/>
    <s v="Refletor Parachoque Tras. Lado Direito Sprinter 415/515"/>
    <s v="#3622844781"/>
    <n v="1"/>
    <n v="197.5"/>
    <n v="142.47"/>
    <m/>
    <s v="MÁRCIO BARCELOS"/>
    <s v="091.459.137-14"/>
    <s v="29194-767"/>
    <s v="RUA DURVAL BARCELLOS REBUZZI, 20"/>
    <s v="GUAXINDIBA"/>
    <s v="ARACRUZ "/>
    <x v="14"/>
    <s v="CORREIOS"/>
    <s v="AC178364743BR"/>
    <d v="2024-09-30T00:00:00"/>
    <s v="10479"/>
    <s v="Fora da garantia"/>
  </r>
  <r>
    <s v="#2000009396661658"/>
    <x v="0"/>
    <x v="92"/>
    <s v="Disco De Tacógrafo Diário 125x24 (caixa Com 100 Unidades)"/>
    <s v="#4477462426"/>
    <n v="6"/>
    <n v="19.989999999999998"/>
    <n v="69.540000000000006"/>
    <m/>
    <s v="LUIZ ANTONIO DE OLIVEIRA BRANDAO FILHO"/>
    <s v="878.710.174-20"/>
    <s v="59570-000"/>
    <s v="RUA JOAQUIM FERNANDES SOBRAL, 128"/>
    <m/>
    <s v="CEARÁ-MIRIM"/>
    <x v="18"/>
    <s v="CORREIOS"/>
    <s v="AK481633995BR"/>
    <d v="2024-10-02T00:00:00"/>
    <s v="10480"/>
    <s v="Fora da garantia"/>
  </r>
  <r>
    <s v="#2000009371726374"/>
    <x v="0"/>
    <x v="93"/>
    <s v="Par Anel Sincronizado 4a/5a Caixa G3-60/61 - O355 O365 O364"/>
    <s v="#5070948140"/>
    <n v="1"/>
    <n v="96.1"/>
    <n v="64.12"/>
    <m/>
    <s v="JOAO MAURO ALVES MELO"/>
    <s v="608.770.492-20"/>
    <s v="67143-490"/>
    <s v="TRAVESSA WE-73-A, 1921"/>
    <s v="COQUEIRO"/>
    <s v="ANANINDEUA"/>
    <x v="11"/>
    <s v="CORREIOS"/>
    <s v="AC167191168BR"/>
    <d v="2024-09-27T00:00:00"/>
    <s v="10467"/>
    <s v="Fora da garantia"/>
  </r>
  <r>
    <s v="#2000009346773970"/>
    <x v="0"/>
    <x v="94"/>
    <s v="Tubo De Agua De Refrigeração Da Sprinter"/>
    <s v="#4763921658"/>
    <n v="1"/>
    <n v="529.99"/>
    <n v="397.94"/>
    <m/>
    <s v="CARMEM SILVA ROCHA PIRES"/>
    <s v="270.421.958-33"/>
    <s v="13477-726"/>
    <s v="RUA DA COMUNIDADE, 802"/>
    <s v="JARDIM BOER II"/>
    <s v="AMERICANA"/>
    <x v="0"/>
    <s v="CORREIOS"/>
    <s v="AK458135492BR"/>
    <d v="2024-09-25T00:00:00"/>
    <s v="10462"/>
    <s v="Fora da garantia"/>
  </r>
  <r>
    <s v="#2000009319667764"/>
    <x v="0"/>
    <x v="95"/>
    <s v="Disco De Tacógrafo Diário 125x24 (caixa Com 100 Unidades)"/>
    <s v="#4477462426"/>
    <n v="5"/>
    <n v="15.99"/>
    <n v="40.35"/>
    <m/>
    <s v="SANDRA ALVES"/>
    <s v="030.166.116-27"/>
    <s v="03238-040"/>
    <s v="RUA DEPUTADO MENEZES CORTES, 140"/>
    <s v="PARQUE SÃO LUCAS"/>
    <s v="SÃO PAULO"/>
    <x v="0"/>
    <s v="CORREIOS"/>
    <s v="AK443346915BR"/>
    <d v="2024-09-23T00:00:00"/>
    <s v="10457"/>
    <s v="Fora da garantia"/>
  </r>
  <r>
    <s v="#2000009310520362"/>
    <x v="0"/>
    <x v="96"/>
    <s v="Encanamento Do Cilindro Da Embreagem Da Sprinter 415/515"/>
    <s v="#4561957876"/>
    <n v="1"/>
    <n v="419.99"/>
    <n v="327.14"/>
    <m/>
    <s v="PAULO OLIVEIRA"/>
    <s v="052.151.503-38"/>
    <s v="65800-000"/>
    <s v="AVENIDA GOVERNADOR LUIZ ROCHA, 1000"/>
    <m/>
    <s v="BALSAS"/>
    <x v="9"/>
    <s v="CORREIOS"/>
    <s v="AK437314825BR"/>
    <d v="2024-09-25T00:00:00"/>
    <s v="10450"/>
    <s v="Fora da garantia"/>
  </r>
  <r>
    <s v="#2000009312009342"/>
    <x v="0"/>
    <x v="96"/>
    <s v="Boia Tanque Mb Sprinter 310d /312d /311cdi /313cdi /412cdi"/>
    <s v="#2708946936"/>
    <n v="1"/>
    <n v="2280"/>
    <n v="1892.4"/>
    <m/>
    <s v="PHILIPE BARRETO"/>
    <s v="073.486.367-56"/>
    <s v="22260-020"/>
    <s v="BARAO DE LUCENA, 124"/>
    <s v="BOTAFOGO"/>
    <s v="RIO DE JANEIRO"/>
    <x v="5"/>
    <s v="CORREIOS"/>
    <m/>
    <d v="2024-09-19T00:00:00"/>
    <m/>
    <s v="Fora da garantia"/>
  </r>
  <r>
    <s v="#2000006309537249"/>
    <x v="0"/>
    <x v="97"/>
    <s v="Correia Alternador Da Sprinter 416 516 - 0049931796"/>
    <s v="#4575547698"/>
    <n v="1"/>
    <n v="269.99"/>
    <n v="202.64"/>
    <m/>
    <s v="JULIANA ANDRESSA KONZEN"/>
    <s v="027.769.180-03"/>
    <s v="97940-000"/>
    <s v="RUA PROGRESSO, 306"/>
    <s v="INDUSTRIAL II"/>
    <s v="SALVADOR DAS MISSÕES"/>
    <x v="4"/>
    <s v="CORREIOS"/>
    <s v="AK425723456BR"/>
    <d v="2024-09-18T00:00:00"/>
    <s v="10443"/>
    <s v="Fora da garantia"/>
  </r>
  <r>
    <s v="#2000009261733832"/>
    <x v="0"/>
    <x v="98"/>
    <s v="Sensor De Pressão De Óleo 0 A 25 Bar Rosca 1/8"/>
    <s v="#3375753069"/>
    <n v="1"/>
    <n v="1599.99"/>
    <n v="1306.54"/>
    <m/>
    <s v="UBERTEC SERVICE USINAGEM LTDA UBERTEC SERVICE"/>
    <s v="13.746.252/0001-06"/>
    <s v="38400-734"/>
    <s v="AVENIDA AMAZONAS, 1303"/>
    <s v="BRASIL"/>
    <s v="UBERLÂNDIA "/>
    <x v="3"/>
    <s v="CORREIOS"/>
    <s v="AK417513257BR"/>
    <d v="2024-09-16T00:00:00"/>
    <s v="10438"/>
    <s v="Fora da garantia"/>
  </r>
  <r>
    <s v="#2000009042361184"/>
    <x v="0"/>
    <x v="99"/>
    <s v="Refletor Parachoque Tras. Lado Direito Sprinter 415/515"/>
    <s v="#3622844781"/>
    <n v="1"/>
    <n v="199.99"/>
    <n v="144.54"/>
    <m/>
    <s v="PAULO ROBERTO BUENO DO PRADO"/>
    <s v="064.569.151-80"/>
    <s v="79603-010"/>
    <s v="AVENIDA CAPITÃO OLINTO MANCINI, 1486"/>
    <s v="JARDIM PRIMAVERIL"/>
    <s v="TRÊS LAGOAS"/>
    <x v="15"/>
    <s v="CORREIOS"/>
    <s v="AK316876473BR"/>
    <d v="2024-08-20T00:00:00"/>
    <s v="10379"/>
    <s v="Fora da garantia"/>
  </r>
  <r>
    <s v="#2000006120245333"/>
    <x v="2"/>
    <x v="100"/>
    <s v="Refletor Parachoque Tras. Lado Direito Sprinter 415/515"/>
    <m/>
    <n v="1"/>
    <n v="119.99"/>
    <n v="78.14"/>
    <m/>
    <s v="CARLOS EDER FABRIS FABRIS"/>
    <s v="036.569.098-81"/>
    <s v="14015-120"/>
    <s v="RUA RUI BARBOSA, 1101"/>
    <s v="CENTRO"/>
    <s v="RIBEIRÃO PRETO"/>
    <x v="0"/>
    <s v="CORREIOS"/>
    <s v="QN277880071BR"/>
    <d v="2024-08-19T00:00:00"/>
    <s v="10342"/>
    <s v="Fora da garantia"/>
  </r>
  <r>
    <s v="#2000008855139568"/>
    <x v="0"/>
    <x v="101"/>
    <s v="Manômetro Pressão Óleo 0 A 5 Bar 12v 60mm"/>
    <s v="#3380556387"/>
    <n v="2"/>
    <n v="322.86"/>
    <n v="495.04"/>
    <m/>
    <s v="EDUARDO BAUMEIER"/>
    <s v="018.025.117-17"/>
    <s v="22290-030"/>
    <s v="RUA DA PASSAGEM, 75"/>
    <s v="BOTAFOGO"/>
    <s v="RIO DE JANEIRO"/>
    <x v="5"/>
    <s v="CORREIOS"/>
    <s v="AA207578567BR"/>
    <d v="2024-07-26T00:00:00"/>
    <s v="10310"/>
    <s v="Fora da garantia"/>
  </r>
  <r>
    <s v="#2000008726201806"/>
    <x v="2"/>
    <x v="102"/>
    <s v="Kit - Boia Tanque Mb Sprinter + Borracha Da Boia Do Tanque"/>
    <m/>
    <n v="1"/>
    <n v="2220.39"/>
    <n v="-1800.97"/>
    <m/>
    <s v="CELSON FREITAS ROCHA JR"/>
    <s v="069.583.856-32"/>
    <m/>
    <m/>
    <m/>
    <m/>
    <x v="16"/>
    <m/>
    <m/>
    <d v="2024-07-23T00:00:00"/>
    <s v="10274"/>
    <s v="Fora da garantia"/>
  </r>
  <r>
    <s v="#2000008721262932"/>
    <x v="2"/>
    <x v="103"/>
    <s v="Farol Sealed Beam 140mm 12v Original General Eletric"/>
    <m/>
    <n v="1"/>
    <n v="94.65"/>
    <n v="-56.61"/>
    <m/>
    <s v="FERNANDO OLIVEIRA SANTOS"/>
    <s v="071.845.489-81"/>
    <m/>
    <m/>
    <m/>
    <m/>
    <x v="16"/>
    <m/>
    <m/>
    <d v="2024-07-23T00:00:00"/>
    <s v="10275"/>
    <s v="Fora da garantia"/>
  </r>
  <r>
    <s v="#2000008604210706"/>
    <x v="0"/>
    <x v="104"/>
    <s v="Boia Tanque Mb Sprinter 310d /312d /311cdi /313cdi /412cdi"/>
    <s v="#2708946936"/>
    <n v="1"/>
    <n v="2134.39"/>
    <n v="1746.59"/>
    <m/>
    <s v="JACKSON BASSO"/>
    <s v="034.106.080-10"/>
    <s v="98910-000"/>
    <s v="RS-342, SN"/>
    <s v="GLORIA"/>
    <s v="TRÊS DE MAIO"/>
    <x v="4"/>
    <s v="CORREIOS"/>
    <s v="QR928439879BR"/>
    <d v="2024-07-04T00:00:00"/>
    <s v="10247"/>
    <s v="Fora da garantia"/>
  </r>
  <r>
    <s v="#2000008591358788"/>
    <x v="0"/>
    <x v="105"/>
    <s v="Farol Sealed Beam 140mm 12v Original General Eletric"/>
    <s v="#4498876918"/>
    <n v="1"/>
    <n v="98.43"/>
    <n v="59.75"/>
    <m/>
    <s v="ANDERSON BONFIM"/>
    <s v="409.263.896-53"/>
    <s v="32603-064"/>
    <s v="RUA ESPÍRITO SANTO, 579"/>
    <s v="DECAMÃO"/>
    <s v="BETIM"/>
    <x v="3"/>
    <s v="CORREIOS"/>
    <s v="QR924910725BR"/>
    <d v="2024-07-01T00:00:00"/>
    <s v="10246"/>
    <s v="Fora da garantia"/>
  </r>
  <r>
    <s v="#2000008582914922"/>
    <x v="0"/>
    <x v="106"/>
    <s v="Farol Sealed Beam 140mm 12v Original General Eletric"/>
    <s v="#4498876918"/>
    <n v="2"/>
    <n v="98.43"/>
    <n v="119.5"/>
    <m/>
    <s v="GUACYRA NIERI"/>
    <s v="301.360.238-43"/>
    <s v="13801-473"/>
    <s v="RUA SÃO MARCOS, 192"/>
    <s v="VILA BIANCHI"/>
    <s v="MOGI MIRIM"/>
    <x v="0"/>
    <s v="CORREIOS"/>
    <s v="QR922222882BR"/>
    <d v="2024-06-29T00:00:00"/>
    <s v="10245"/>
    <s v="Fora da garantia"/>
  </r>
  <r>
    <s v="#2000008585134654"/>
    <x v="0"/>
    <x v="106"/>
    <s v="Farol Sealed Beam 140mm 12v Original General Eletric"/>
    <s v="#4498876918"/>
    <n v="1"/>
    <n v="98.43"/>
    <n v="59.75"/>
    <m/>
    <s v="ANTONIO JOSE CHERNICHARO"/>
    <s v="155.842.836-49"/>
    <s v="32372-110"/>
    <s v="RUA INVERNO, 30"/>
    <s v="VILA PARIS"/>
    <s v="CONTAGEM"/>
    <x v="3"/>
    <s v="CORREIOS"/>
    <s v="SY522359068BR"/>
    <d v="2024-06-24T00:00:00"/>
    <s v="10244"/>
    <s v="Fora da garantia"/>
  </r>
  <r>
    <s v="#2000008573734944"/>
    <x v="0"/>
    <x v="107"/>
    <s v="Farol Sealed Beam 140mm 12v Original General Eletric"/>
    <s v="#4498876918"/>
    <n v="1"/>
    <n v="98.43"/>
    <n v="59.75"/>
    <m/>
    <s v="LEANDRO TELLINI"/>
    <s v="326.939.298-22"/>
    <s v="13806-373"/>
    <s v="RUA FLODOALDO PAULO DOS SANTOS, 88"/>
    <s v="PARQUE JARDIM MURAYAMA"/>
    <s v="MOGI MIRIM"/>
    <x v="0"/>
    <s v="CORREIOS"/>
    <s v="SY519125757BR"/>
    <d v="2024-06-21T00:00:00"/>
    <s v="10241"/>
    <s v="Fora da garantia"/>
  </r>
  <r>
    <s v="#2000005924568433"/>
    <x v="0"/>
    <x v="107"/>
    <s v="Tubo De Agua De Refrigeração Da Sprinter"/>
    <s v="#4763921658"/>
    <n v="1"/>
    <n v="529.99"/>
    <n v="414.94"/>
    <m/>
    <s v="EDSON GREMONI"/>
    <s v="036.156.368-05"/>
    <s v="14706-026"/>
    <s v="RUA FREI CLEMENTE GRASSI, 1303"/>
    <s v="JARDIM JÚLIA"/>
    <s v="BEBEDOURO"/>
    <x v="0"/>
    <s v="CORREIOS"/>
    <s v="SY519198153BR"/>
    <d v="2024-06-25T00:00:00"/>
    <s v="10242"/>
    <s v="Fora da garantia"/>
  </r>
  <r>
    <s v="#2000008574506922"/>
    <x v="0"/>
    <x v="107"/>
    <s v="General Eletronic Farol Sealed Beam 140mm 12v Original"/>
    <s v="#4498855500"/>
    <n v="4"/>
    <n v="98.79"/>
    <n v="240.2"/>
    <m/>
    <s v="THIAGO TOMAZ ROSA DOS SANTOS"/>
    <s v="062.907.041-50"/>
    <s v="78450-200"/>
    <s v="AVENIDA DAS GARÇAS, 557"/>
    <s v="JARDIM II"/>
    <s v="NOVA MUTUM"/>
    <x v="13"/>
    <s v="CORREIOS"/>
    <s v="QR917847355BR"/>
    <d v="2024-06-26T00:00:00"/>
    <s v="10243"/>
    <s v="Fora da garantia"/>
  </r>
  <r>
    <s v="#2000008557804052"/>
    <x v="0"/>
    <x v="108"/>
    <s v="Farol Para Ducato 94/05, Boxer 97/04 Lado Esquerdo E Direito"/>
    <s v="#3739003915"/>
    <n v="1"/>
    <n v="399.99"/>
    <n v="306.04000000000002"/>
    <m/>
    <s v="JOEL BUSS"/>
    <s v="788.553.140-68"/>
    <s v="96065-610"/>
    <s v="RUA AÇORES, 1693"/>
    <s v="TRÊS VENDAS"/>
    <s v="PELOTAS"/>
    <x v="4"/>
    <s v="CORREIOS"/>
    <s v="QR912380858BR"/>
    <d v="2024-06-27T00:00:00"/>
    <s v="10240"/>
    <s v="Fora da garantia"/>
  </r>
  <r>
    <s v="#2000008550094394"/>
    <x v="1"/>
    <x v="109"/>
    <s v="General Eletronic Farol Sealed Beam 140mm 12v Original"/>
    <m/>
    <n v="1"/>
    <n v="98.79"/>
    <n v="-82"/>
    <s v="Cliente se enganou"/>
    <s v="RAFAEL RESTELLO"/>
    <s v="009.921.049-55"/>
    <m/>
    <m/>
    <m/>
    <m/>
    <x v="16"/>
    <m/>
    <m/>
    <m/>
    <m/>
    <s v=""/>
  </r>
  <r>
    <s v="#2000008539996152"/>
    <x v="1"/>
    <x v="110"/>
    <s v="Refletor Parachoque Tras. Lado Direito Sprinter 415/515"/>
    <m/>
    <n v="1"/>
    <n v="119.99"/>
    <n v="-99.59"/>
    <s v="Cliente informou endereço errado"/>
    <s v="FELIPE CORNETA"/>
    <m/>
    <m/>
    <m/>
    <m/>
    <m/>
    <x v="16"/>
    <m/>
    <m/>
    <m/>
    <m/>
    <s v=""/>
  </r>
  <r>
    <s v="#2000005897447141"/>
    <x v="0"/>
    <x v="111"/>
    <s v="Sprinter Alavanca De Freio De Mão Cdi"/>
    <s v="#3738471296"/>
    <n v="1"/>
    <n v="693.37"/>
    <n v="552.04999999999995"/>
    <m/>
    <s v="MAICON HENRIQUE"/>
    <s v="114.329.297-98"/>
    <s v="24474-030"/>
    <s v="RUA MANUEL QUINTANILHA, 27"/>
    <s v="ITAÚNA"/>
    <s v="SÃO GONÇALO"/>
    <x v="5"/>
    <s v="CORREIOS"/>
    <s v="SY500375130BR"/>
    <d v="2024-06-18T00:00:00"/>
    <s v="10238"/>
    <s v="Fora da garantia"/>
  </r>
  <r>
    <s v="#2000008525701796"/>
    <x v="0"/>
    <x v="111"/>
    <s v="Conjunto Mangueira Hidrovácuo + Acoplamento Sprinter"/>
    <s v="#3617889069"/>
    <n v="1"/>
    <n v="433.01"/>
    <n v="338.95"/>
    <m/>
    <s v="SAULO FONSECA"/>
    <s v="047.202.338-13"/>
    <s v="07084-203"/>
    <s v="AVENIDA MARIA GEBIN DE MORAES, 210"/>
    <s v="PARQUE CONTINENTAL II"/>
    <s v="GUARULHOS"/>
    <x v="0"/>
    <s v="CORREIOS"/>
    <s v="SY500381016BR"/>
    <d v="2024-06-19T00:00:00"/>
    <s v="10239"/>
    <s v="Fora da garantia"/>
  </r>
  <r>
    <s v="#2000008516797732"/>
    <x v="0"/>
    <x v="112"/>
    <s v="Sprinter Alavanca De Freio De Mão Cdi"/>
    <s v="#3738471296"/>
    <n v="1"/>
    <n v="693.37"/>
    <n v="552.04999999999995"/>
    <m/>
    <s v="MIR TRANSPORTES E LOGISTICA LTDA"/>
    <s v="03.565.095/0001-89"/>
    <s v="89163-020"/>
    <s v="RODOVIA BR-470, 8220"/>
    <s v="CANTA GALO"/>
    <s v="RIO DO SUL"/>
    <x v="10"/>
    <s v="CORREIOS"/>
    <s v="SY496448125BR"/>
    <d v="2024-06-17T00:00:00"/>
    <m/>
    <s v="Fora da garantia"/>
  </r>
  <r>
    <s v="#2000008488764526"/>
    <x v="2"/>
    <x v="113"/>
    <s v="Original Sprinter 312: Mangueira Hidrovácuo - Ref. 901435122"/>
    <m/>
    <n v="1"/>
    <n v="227.69"/>
    <n v="-165.03"/>
    <s v="Cliente informou que não é compatível"/>
    <s v="NILTON APARECIDO BARBOSA"/>
    <s v="028.290.008-03"/>
    <m/>
    <m/>
    <m/>
    <m/>
    <x v="16"/>
    <m/>
    <m/>
    <d v="2024-06-20T00:00:00"/>
    <m/>
    <s v="Fora da garantia"/>
  </r>
  <r>
    <s v="#2000008476726726"/>
    <x v="0"/>
    <x v="114"/>
    <s v="Refletor Parachoque Tras. Lado Esquerdo Sprinter 415/515"/>
    <s v="#3622845355"/>
    <n v="1"/>
    <n v="119.99"/>
    <n v="78.64"/>
    <m/>
    <s v="MARCOS MORAIS"/>
    <s v="197.530.958-80"/>
    <s v="48400-000"/>
    <s v="RUA PAULO JOSÉ DE SANTANA, 238"/>
    <s v="CENTRO"/>
    <s v="RIBEIRA DO POMBAL"/>
    <x v="6"/>
    <s v="CORREIOS"/>
    <s v="QR885222974BR"/>
    <d v="2024-06-17T00:00:00"/>
    <s v="10237"/>
    <s v="Fora da garantia"/>
  </r>
  <r>
    <s v="#2000008416488222"/>
    <x v="0"/>
    <x v="115"/>
    <s v="Kit 2 Faróis Sealed Beam 140mm 12v Original General Eletric_x000a_Lado: Direito"/>
    <s v="#4667442936"/>
    <n v="1"/>
    <n v="189.99"/>
    <n v="135.74"/>
    <m/>
    <s v="ANDRE MONTENEGRO"/>
    <s v="157.079.378-62"/>
    <s v="03728-000"/>
    <s v="RUA SÃO JOSÉ DO CAMPESTRE, 321"/>
    <s v="JARDIM DANFER"/>
    <s v="SÃO PAULO"/>
    <x v="0"/>
    <s v="CORREIOS"/>
    <s v="QR866128738BR"/>
    <d v="2024-06-07T00:00:00"/>
    <s v="10235"/>
    <s v="Fora da garantia"/>
  </r>
  <r>
    <s v="#2000008416517750"/>
    <x v="0"/>
    <x v="115"/>
    <s v="Farol Sealed Beam 140mm 12v Original General Eletric_x000a_Lado: Direito"/>
    <s v="#4498876918"/>
    <n v="2"/>
    <n v="189.3"/>
    <n v="270.33999999999997"/>
    <m/>
    <s v="WILLIAN PALUDO"/>
    <s v="065.526.229-61"/>
    <s v="85720-068"/>
    <s v="AVENIDA 24 DE OUTUBRO, 71"/>
    <s v="IPÊ"/>
    <s v="MEDIANEIRA"/>
    <x v="11"/>
    <s v="CORREIOS"/>
    <s v="QR866129543BR"/>
    <d v="2024-06-12T00:00:00"/>
    <s v="10236"/>
    <s v="Fora da garantia"/>
  </r>
  <r>
    <s v="#2000008391978176"/>
    <x v="0"/>
    <x v="116"/>
    <s v="Farol Sealed Beam 140mm 12v Original General Eletric_x000a_Lado: Direito"/>
    <s v="#4498876918"/>
    <n v="1"/>
    <n v="97.44"/>
    <n v="82.27"/>
    <m/>
    <s v="FELIPE FIGUEIREDO"/>
    <s v="314.550.098-81"/>
    <s v="22775-024"/>
    <s v="AVENIDA ATOR JOSÉ WILKER, 400"/>
    <s v="JACAREPAGUÁ"/>
    <s v="RIO DE JANEIRO"/>
    <x v="5"/>
    <s v="CORREIOS"/>
    <m/>
    <d v="2024-06-06T00:00:00"/>
    <s v="10166"/>
    <s v="Fora da garantia"/>
  </r>
  <r>
    <s v="#2000008383177308"/>
    <x v="0"/>
    <x v="117"/>
    <s v="Sensor De Pressão De Óleo 0 A 25 Bar Rosca 1/8"/>
    <s v="#3375753069"/>
    <n v="2"/>
    <n v="1599.99"/>
    <n v="2603.3000000000002"/>
    <m/>
    <s v="MARCELO MAGALHAES"/>
    <s v="305.161.768-70"/>
    <s v="05679-165"/>
    <s v="RUA DOUTOR ALBERTO LYRA, 345"/>
    <s v="JARDIM PANORAMA"/>
    <s v="SÃO PAULO"/>
    <x v="0"/>
    <s v="CORREIOS"/>
    <s v="SY435402513BR"/>
    <d v="2024-05-29T00:00:00"/>
    <m/>
    <s v="Fora da garantia"/>
  </r>
  <r>
    <s v="#2000005814153663"/>
    <x v="0"/>
    <x v="118"/>
    <s v="Farol Sealed Beam 140mm 12v Original General Eletric"/>
    <s v="#4498876918"/>
    <n v="2"/>
    <n v="89.04"/>
    <n v="103.9"/>
    <m/>
    <s v="JOÃO LANDIM"/>
    <s v="658.033.027-91"/>
    <s v="88053-417"/>
    <s v="RUA DOS CARAPANÁS, 170"/>
    <s v="JURERÊ INTERNACIONAL"/>
    <s v="FLORIANÓPOLIS"/>
    <x v="10"/>
    <s v="CORREIOS"/>
    <s v="QR813176453BR"/>
    <d v="2024-06-03T00:00:00"/>
    <m/>
    <s v="Fora da garantia"/>
  </r>
  <r>
    <s v="#2000005814979705"/>
    <x v="1"/>
    <x v="118"/>
    <s v="Sensor De Pressão De Óleo 0 A 25 Bar Rosca 1/8"/>
    <m/>
    <n v="2"/>
    <n v="1599.99"/>
    <n v="-2524.08"/>
    <s v="Erro na etiqueta"/>
    <s v="MARCELO MAGALHAES"/>
    <s v="305.161.768-70"/>
    <s v="05679-165"/>
    <m/>
    <m/>
    <m/>
    <x v="16"/>
    <m/>
    <m/>
    <m/>
    <m/>
    <s v=""/>
  </r>
  <r>
    <s v="#2000008361033692"/>
    <x v="0"/>
    <x v="119"/>
    <s v="General Eletronic Farol Sealed Beam 140mm 12v Original"/>
    <s v="#4498855500"/>
    <n v="1"/>
    <n v="89.29"/>
    <n v="52.16"/>
    <m/>
    <s v="FÁTIMA MENDES"/>
    <s v="409.263.896-53"/>
    <s v="32603-064"/>
    <s v="RUA ESPÍRITO SANTO, 579"/>
    <s v="DECAMÃO"/>
    <s v="BETIM"/>
    <x v="3"/>
    <s v="CORREIOS"/>
    <s v="SY423179895BR"/>
    <d v="2024-05-28T00:00:00"/>
    <s v="10169"/>
    <s v="Fora da garantia"/>
  </r>
  <r>
    <s v="#2000008354909482"/>
    <x v="0"/>
    <x v="120"/>
    <s v="Farol Sealed Beam 140mm 12v | General Eletric Original_x000a_Lado: Esquerdo"/>
    <s v="#4498876918"/>
    <n v="1"/>
    <n v="69.5"/>
    <n v="1.78"/>
    <m/>
    <s v="CHRISTIAN HERRMANN"/>
    <s v="004.172.789-42"/>
    <s v="89278-000"/>
    <s v="RUA ROBERTO SEIDEL, 1303"/>
    <m/>
    <s v="CORUPÁ"/>
    <x v="10"/>
    <s v="CORREIOS"/>
    <s v="QR789629598BR"/>
    <d v="2024-06-06T00:00:00"/>
    <s v="10171"/>
    <s v="Fora da garantia"/>
  </r>
  <r>
    <s v="#2000008359360528"/>
    <x v="0"/>
    <x v="120"/>
    <s v="Farol Sealed Beam 140mm 12v | General Eletric Original"/>
    <s v="#4498876918"/>
    <n v="2"/>
    <n v="139"/>
    <n v="3.56"/>
    <m/>
    <s v="RAUL CULAU"/>
    <s v="210.167.980-91"/>
    <s v="28906-170"/>
    <s v="RUA BARÃO DO RIO BRANCO, 291"/>
    <s v="PASSAGEM"/>
    <s v="CABO FRIO"/>
    <x v="5"/>
    <s v="CORREIOS"/>
    <s v="QR795584989BR"/>
    <d v="2024-05-29T00:00:00"/>
    <s v="10170"/>
    <s v="Fora da garantia"/>
  </r>
  <r>
    <s v="#2000008380087402"/>
    <x v="0"/>
    <x v="120"/>
    <s v="General Eletronic Farol Sealed Beam 140mm 12v Original"/>
    <s v="#4498855500"/>
    <n v="4"/>
    <n v="89.29"/>
    <n v="191.08"/>
    <m/>
    <s v="CAIO TIERGARTEN"/>
    <s v="055.500.329-96"/>
    <s v="88502-035"/>
    <s v="RUA HONORATO RAMOS, 307"/>
    <s v="CENTRO"/>
    <s v="LAGES"/>
    <x v="10"/>
    <s v="CORREIOS"/>
    <s v="SY435287282BR"/>
    <d v="2024-05-31T00:00:00"/>
    <s v="10167"/>
    <s v="Fora da garantia"/>
  </r>
  <r>
    <s v="#2000008336099746"/>
    <x v="2"/>
    <x v="121"/>
    <s v="Termômetro Mecânico Preto 40º A 100ºc 60mm"/>
    <m/>
    <n v="1"/>
    <n v="189.92"/>
    <n v="-135.68"/>
    <m/>
    <s v="JUAN FERNANDO IENNY"/>
    <s v="119.307.637-43"/>
    <s v="21515-000"/>
    <s v="AVENIDA BRASIL, 20491"/>
    <s v="BARROS FILHO"/>
    <s v="RIO DE JANEIRO"/>
    <x v="5"/>
    <s v="CORREIOS"/>
    <s v="OV841448753BR"/>
    <d v="2024-05-24T00:00:00"/>
    <m/>
    <s v="Fora da garantia"/>
  </r>
  <r>
    <s v="#2000008303857670"/>
    <x v="0"/>
    <x v="122"/>
    <s v="Kit 2 Faróis Sealed Beam 140mm 12v Original General Eletric"/>
    <s v="#4667442936"/>
    <n v="1"/>
    <n v="170.99"/>
    <n v="123.77"/>
    <m/>
    <s v="GILNEI GHENO"/>
    <s v="034.759.479-43"/>
    <s v="89715-899"/>
    <s v="LINHA SEDE BRUM, SN"/>
    <s v="LINHA SEDE BRUM"/>
    <s v="CONCÓRDIA"/>
    <x v="10"/>
    <s v="CORREIOS"/>
    <s v="QR733752245BR"/>
    <d v="2024-06-03T00:00:00"/>
    <s v="10234"/>
    <s v="Fora da garantia"/>
  </r>
  <r>
    <s v="#2000008298175908"/>
    <x v="2"/>
    <x v="123"/>
    <s v="Farol Sealed Beam 140mm 12v | General Eletric Original_x000a_Lado: Direito"/>
    <m/>
    <n v="1"/>
    <n v="59.99"/>
    <n v="-47.4"/>
    <m/>
    <s v="MIGUEL ARCANJO ROSSETTI"/>
    <s v="554.437.026-53"/>
    <m/>
    <m/>
    <m/>
    <m/>
    <x v="16"/>
    <s v="CORREIOS"/>
    <s v="QN202853024BR"/>
    <d v="2024-05-31T00:00:00"/>
    <m/>
    <s v="Fora da garantia"/>
  </r>
  <r>
    <s v="#2000008269867088"/>
    <x v="0"/>
    <x v="124"/>
    <s v="Farol Sealed Beam 140mm 12v Original General Eletric"/>
    <s v="#4498876918"/>
    <n v="4"/>
    <n v="80.599999999999994"/>
    <n v="179.8"/>
    <m/>
    <s v="ARMINDO GOMES PEREIRA"/>
    <s v="086.309.677-81"/>
    <s v="26041-471"/>
    <s v="RUA ANTÔNIO DOS SANTOS, 25"/>
    <s v="BOTAFOGO"/>
    <s v="NOVA IGUAÇU"/>
    <x v="5"/>
    <s v="CORREIOS"/>
    <s v="SY373335480BR"/>
    <d v="2024-05-16T00:00:00"/>
    <s v="101727"/>
    <s v="Fora da garantia"/>
  </r>
  <r>
    <s v="#2000005753161039"/>
    <x v="0"/>
    <x v="125"/>
    <s v="Sprinter Alavanca De Freio De Mão Cdi"/>
    <s v="#3738471296"/>
    <n v="1"/>
    <n v="698"/>
    <n v="555.89"/>
    <m/>
    <s v="LEANDRO OLIVEIRA"/>
    <s v="064.257.229-16"/>
    <s v="88311-570"/>
    <s v="RUA MARGARIDA DALÇOQUIO BITTENCOURT, 479"/>
    <s v="SALSEIROS"/>
    <s v="ITAJAÍ"/>
    <x v="10"/>
    <s v="CORREIOS"/>
    <s v="QR675619329BR"/>
    <d v="2024-05-20T00:00:00"/>
    <m/>
    <s v="Fora da garantia"/>
  </r>
  <r>
    <s v="#2000008257885828"/>
    <x v="0"/>
    <x v="125"/>
    <s v="Farol Sealed Beam 140mm 12v Original General Eletric_x000a_Lado: Direito"/>
    <s v="#4498876918"/>
    <n v="1"/>
    <n v="80.599999999999994"/>
    <n v="44.95"/>
    <m/>
    <s v="MAURO BERGAMINI"/>
    <s v="922.838.619-34"/>
    <s v="80710-252"/>
    <s v="RUA ALFERES ÂNGELO SAMPAIO, 3000"/>
    <s v="MERCÊS"/>
    <s v="CURITIBA"/>
    <x v="7"/>
    <s v="CORREIOS"/>
    <s v="DA355613567BR"/>
    <d v="2024-05-14T00:00:00"/>
    <s v="10126"/>
    <s v="Fora da garantia"/>
  </r>
  <r>
    <s v="#2000008252520318"/>
    <x v="2"/>
    <x v="126"/>
    <s v="Farol Sealed Beam 140mm 12v Original General Eletric"/>
    <m/>
    <n v="2"/>
    <n v="80.599999999999994"/>
    <n v="-89.9"/>
    <m/>
    <s v="FRANCO FABRICIO PANATO DEMO"/>
    <s v="020.131.719-27"/>
    <m/>
    <m/>
    <m/>
    <m/>
    <x v="16"/>
    <s v="CORREIOS"/>
    <s v="QC829399039BR"/>
    <d v="2024-05-31T00:00:00"/>
    <s v="10124"/>
    <s v="Fora da garantia"/>
  </r>
  <r>
    <s v="#2000008202510904"/>
    <x v="0"/>
    <x v="127"/>
    <s v="General Eletronic Farol Sealed Beam 140mm 12v Original"/>
    <s v="#4498855500"/>
    <n v="1"/>
    <n v="60.79"/>
    <n v="44.46"/>
    <m/>
    <s v="FELIPE DE BIASE FERNANDES"/>
    <s v="073.895.767-40"/>
    <s v="22610-070"/>
    <s v="AVENIDA ALMIRANTE ÁLVARO ALBERTO, 210"/>
    <s v="SÃO CONRADO"/>
    <s v="RIO DE JANEIRO"/>
    <x v="5"/>
    <s v="CORREIOS"/>
    <s v="DQ973425059BR"/>
    <d v="2024-05-07T00:00:00"/>
    <s v="10121"/>
    <s v="Fora da garantia"/>
  </r>
  <r>
    <s v="#2000008209175020"/>
    <x v="0"/>
    <x v="127"/>
    <s v="General Eletronic Farol Sealed Beam 140mm 12v Original"/>
    <s v="#4498855500"/>
    <n v="1"/>
    <n v="60.79"/>
    <n v="44.46"/>
    <m/>
    <s v="KEILA CRISTINA GRANDE"/>
    <s v="320.535.798-11"/>
    <s v="18523-378"/>
    <s v="AVENIDA PRESIDENTE WASHINGTON LUIZ, 1356"/>
    <s v="RESIDENCIAL REAL PARQUE"/>
    <s v="CERQUILHO"/>
    <x v="0"/>
    <s v="CORREIOS"/>
    <s v="DQ979265620BR"/>
    <d v="2024-05-08T00:00:00"/>
    <s v="10122"/>
    <s v="Fora da garantia"/>
  </r>
  <r>
    <s v="#2000008209182618"/>
    <x v="0"/>
    <x v="127"/>
    <s v="General Eletronic Farol Sealed Beam 140mm 12v Original"/>
    <s v="#4498855500"/>
    <n v="1"/>
    <n v="60.79"/>
    <n v="44.46"/>
    <m/>
    <s v="KEILA CRISTINA GRANDE"/>
    <s v="320.535.798-11"/>
    <s v="18523-378"/>
    <s v="AVENIDA PRESIDENTE WASHINGTON LUIZ, 1356"/>
    <s v="RESIDENCIAL REAL PARQUE"/>
    <s v="CERQUILHO"/>
    <x v="0"/>
    <s v="CORREIOS"/>
    <s v="DQ979264876BR"/>
    <d v="2024-05-08T00:00:00"/>
    <s v="10123"/>
    <s v="Fora da garantia"/>
  </r>
  <r>
    <s v="#2000008202487664"/>
    <x v="0"/>
    <x v="128"/>
    <s v="General Eletronic Farol Sealed Beam 140mm 12v Original"/>
    <s v="#4498855500"/>
    <n v="1"/>
    <n v="60.79"/>
    <n v="44.46"/>
    <m/>
    <s v="FELIPE DE BIASE FERNANDES"/>
    <s v="073.895.767-40"/>
    <s v="22610-070"/>
    <s v="AVENIDA ALMIRANTE ÁLVARO ALBERTO, 210"/>
    <s v="SÃO CONRADO"/>
    <s v="RIO DE JANEIRO"/>
    <x v="5"/>
    <s v="CORREIOS"/>
    <s v="DQ973424827BR"/>
    <d v="2024-05-07T00:00:00"/>
    <s v="10120"/>
    <s v="Fora da garantia"/>
  </r>
  <r>
    <s v="#2000008203114276"/>
    <x v="0"/>
    <x v="128"/>
    <s v="Sprinter Alavanca De Freio De Mão Cdi"/>
    <s v="#3738471296"/>
    <n v="1"/>
    <n v="698"/>
    <n v="555.89"/>
    <m/>
    <s v="DELICIAS DO TRIGO"/>
    <s v="23.951.676/0001-66"/>
    <s v="37270-000"/>
    <s v="ALAMEDA CALIMÉRIO ALVES COSTA, 655"/>
    <s v="CIDADE JARDIM II"/>
    <s v="CAMPO BELO"/>
    <x v="3"/>
    <s v="CORREIOS"/>
    <s v="DQ974529948BR"/>
    <d v="2024-05-09T00:00:00"/>
    <s v="10205"/>
    <s v="Fora da garantia"/>
  </r>
  <r>
    <s v="#2000008191073958"/>
    <x v="3"/>
    <x v="129"/>
    <s v="General Eletronic Farol Sealed Beam 140mm 12v Original"/>
    <s v="#4498855500"/>
    <n v="1"/>
    <n v="60.79"/>
    <n v="-133.38"/>
    <s v="O comprador disse que a embalagem chegou bem, mas o produto está danificado."/>
    <s v="MARILEIA SIQUEIRA"/>
    <s v="032.409.629-18"/>
    <s v="86220-000"/>
    <s v="AVENIDA RIO DE JANEIRO, 815"/>
    <s v="CENTRO"/>
    <s v="ASSAÍ"/>
    <x v="7"/>
    <s v="CORREIOS"/>
    <s v="QR563150901BR"/>
    <d v="2024-05-13T00:00:00"/>
    <s v="10119"/>
    <s v="Fora da garantia"/>
  </r>
  <r>
    <s v="#2000008133674736"/>
    <x v="0"/>
    <x v="130"/>
    <s v="Freio De Mão Sprinter Cdi Alavanca 313 2006 2007 2008 2009"/>
    <m/>
    <n v="1"/>
    <n v="692.36"/>
    <n v="549.71"/>
    <m/>
    <s v="MATEUS AJALA"/>
    <s v="033.705.451-79"/>
    <s v="79904-700"/>
    <s v="AVENIDA MARECHAL FLORIANO PEIXOTO, 700"/>
    <s v="CENTRO"/>
    <s v="PONTA PORÃ"/>
    <x v="15"/>
    <s v="CORREIOS"/>
    <s v="QR442660800BR"/>
    <d v="2024-05-07T00:00:00"/>
    <s v="10118"/>
    <s v="Fora da garantia"/>
  </r>
  <r>
    <s v="#2000005683710927"/>
    <x v="0"/>
    <x v="131"/>
    <s v="Sprinter Alavanca De Freio De Mão Cdi"/>
    <s v="#3738471296"/>
    <n v="1"/>
    <n v="698"/>
    <n v="555.89"/>
    <m/>
    <s v="FUTURA SERVIÇOS"/>
    <s v="019.417.580-45"/>
    <s v="97502-496"/>
    <s v="RUA DOUTOR MAIA, 4450"/>
    <s v="SÃO JOÃO"/>
    <s v="URUGUAIANA"/>
    <x v="4"/>
    <s v="CORREIOS"/>
    <s v="QR430686455BR"/>
    <d v="2024-05-03T00:00:00"/>
    <m/>
    <s v="Fora da garantia"/>
  </r>
  <r>
    <s v="#2000008106379258"/>
    <x v="0"/>
    <x v="132"/>
    <s v="Freio De Mão Sprinter Cdi Alavanca 313 2006 2007 2008 2009"/>
    <m/>
    <n v="1"/>
    <n v="692.36"/>
    <n v="549.71"/>
    <m/>
    <s v="JOSE CARLOS DE BARROS TITO"/>
    <s v="687.525.124-87"/>
    <s v="50751-655"/>
    <s v="AV.ENGENHEIRO ABDIAS DE CARVALHO, 1743"/>
    <s v="BONGI"/>
    <s v="RECIFE"/>
    <x v="12"/>
    <s v="CORREIOS"/>
    <s v="DQ912912097BR"/>
    <d v="2024-04-25T00:00:00"/>
    <s v="10049"/>
    <s v="Fora da garantia"/>
  </r>
  <r>
    <s v="#2000008108579542"/>
    <x v="0"/>
    <x v="132"/>
    <s v="Farol Sealed Beam 140mm 12v Original General Eletric"/>
    <s v="#4498876918"/>
    <n v="2"/>
    <n v="79.989999999999995"/>
    <n v="90.88"/>
    <m/>
    <s v="ELIANE PAES"/>
    <s v="727.888.870-00"/>
    <s v="95177-000"/>
    <s v="RUA FRANCISCO BALBINOT, 192"/>
    <s v="MEDIANEIRA"/>
    <s v="FARROUPILHA"/>
    <x v="4"/>
    <s v="CORREIOS"/>
    <s v="QR397295025BR"/>
    <d v="2024-04-29T00:00:00"/>
    <n v="50"/>
    <s v="Fora da garantia"/>
  </r>
  <r>
    <s v="#2000008081925458"/>
    <x v="0"/>
    <x v="133"/>
    <s v="Termômetro Mecânico Preto 40º A 100ºc 60mm"/>
    <s v="#3792536284"/>
    <n v="1"/>
    <n v="189.92"/>
    <n v="135.68"/>
    <m/>
    <s v="NIRO DOS PASSOS FERREIRA"/>
    <s v="062.127.886-69"/>
    <s v="38610-114"/>
    <s v="RUA ARLINDO GOMES BRANQUINHO, 125"/>
    <s v="CAPIM BRANCO"/>
    <s v="UNAÍ"/>
    <x v="3"/>
    <s v="CORREIOS"/>
    <s v="QR335853775BR"/>
    <d v="2024-04-26T00:00:00"/>
    <n v="48"/>
    <s v="Fora da garantia"/>
  </r>
  <r>
    <s v="#2000008071751848"/>
    <x v="0"/>
    <x v="134"/>
    <s v="Farol Sealed Beam 140mm 12v Original General Eletric"/>
    <s v="#4498876918"/>
    <n v="4"/>
    <n v="79.989999999999995"/>
    <n v="181.76"/>
    <m/>
    <s v="ELIANE PAES"/>
    <s v="727.888.870-00"/>
    <s v="95177-000"/>
    <s v="RUA FRANCISCO BALBINOT, 192"/>
    <s v="MEDIANEIRA"/>
    <s v="FARROUPILHA"/>
    <x v="4"/>
    <s v="CORREIOS"/>
    <s v="QR313999629BR"/>
    <d v="2024-04-23T00:00:00"/>
    <n v="42"/>
    <s v="Fora da garantia"/>
  </r>
  <r>
    <s v="#2000008074324736"/>
    <x v="0"/>
    <x v="134"/>
    <s v="Kit - Boia Tanque Mb Sprinter + Borracha Da Boia Do Tanque"/>
    <s v="#4582230258"/>
    <n v="1"/>
    <n v="2239.9899999999998"/>
    <n v="1817.24"/>
    <m/>
    <s v="LOUISE SANDI"/>
    <s v="033.541.456-76"/>
    <s v="37530-000"/>
    <s v="RUA GONÇALVES CINTRA, 193"/>
    <s v="CENTRO"/>
    <s v="BRASÓPOLIS"/>
    <x v="3"/>
    <s v="CORREIOS"/>
    <s v="QR317936275BR"/>
    <d v="2024-04-24T00:00:00"/>
    <n v="43"/>
    <s v="Fora da garantia"/>
  </r>
  <r>
    <s v="#2000008074590012"/>
    <x v="0"/>
    <x v="134"/>
    <s v="Refletor Parachoque Tras. Lado Direito Sprinter 415/515"/>
    <s v="#3622844781"/>
    <n v="1"/>
    <n v="119.99"/>
    <n v="79.14"/>
    <m/>
    <s v="RODRIGO PALHARES"/>
    <s v="727.628.700-97"/>
    <s v="91310-003"/>
    <s v="AVENIDA PROTÁSIO ALVES, 6113"/>
    <s v="PETRÓPOLIS"/>
    <s v="PORTO ALEGRE"/>
    <x v="4"/>
    <s v="CORREIOS"/>
    <s v="DQ889485605BR"/>
    <d v="2024-04-19T00:00:00"/>
    <n v="44"/>
    <s v="Fora da garantia"/>
  </r>
  <r>
    <s v="#2000005646960771"/>
    <x v="1"/>
    <x v="135"/>
    <s v="General Eletronic Farol Sealed Beam 140mm 12v Original"/>
    <m/>
    <n v="1"/>
    <n v="59.99"/>
    <n v="-43.79"/>
    <s v="O comprador solicitou o cancelamento porque não podia esperar o produto."/>
    <s v="JOSÉ MARIA NASCIMENTO"/>
    <s v="069.229.889-49"/>
    <s v="85640-000"/>
    <m/>
    <m/>
    <s v="PINHAL DE SÃO BENTO"/>
    <x v="7"/>
    <m/>
    <m/>
    <m/>
    <n v="10041"/>
    <s v=""/>
  </r>
  <r>
    <s v="#2000008057653084"/>
    <x v="1"/>
    <x v="135"/>
    <s v="Farol Sealed Beam 140mm 12v Original General Eletric"/>
    <m/>
    <n v="1"/>
    <n v="69.59"/>
    <n v="-9.86"/>
    <s v="Erro no anúncio"/>
    <s v="JOSÉ MARIA NASCIMENTO"/>
    <s v="069.229.889-49"/>
    <s v="85640-000"/>
    <m/>
    <m/>
    <s v="PINHAL DE SÃO BENTO"/>
    <x v="7"/>
    <m/>
    <m/>
    <m/>
    <m/>
    <s v=""/>
  </r>
  <r>
    <s v="#2000008039689022"/>
    <x v="0"/>
    <x v="136"/>
    <s v="General Eletronic Farol Sealed Beam 140mm 12v Original"/>
    <s v="#4498855500"/>
    <n v="1"/>
    <n v="59.99"/>
    <n v="43.79"/>
    <m/>
    <s v="ANDERSON MAURO SILVA DE BARROS BARROS"/>
    <m/>
    <m/>
    <m/>
    <m/>
    <m/>
    <x v="16"/>
    <m/>
    <m/>
    <m/>
    <m/>
    <s v=""/>
  </r>
  <r>
    <s v="#2000005598334671"/>
    <x v="0"/>
    <x v="137"/>
    <s v="Indicador De Temperatura 40º A 120º 12v 60mm"/>
    <s v="#3810973422"/>
    <n v="4"/>
    <n v="260.2"/>
    <n v="768.08"/>
    <m/>
    <s v="BERNARDO REIS"/>
    <s v="138.031.877-70"/>
    <s v="24050-100"/>
    <s v="RUA JORNALISTA SARDO FILHO, 38"/>
    <s v="ILHA DA CONCEIÇÃO"/>
    <s v="NITERÓI"/>
    <x v="5"/>
    <s v="CORREIOS"/>
    <s v="DQ790746849BR"/>
    <d v="2024-04-05T00:00:00"/>
    <m/>
    <s v="Fora da garantia"/>
  </r>
  <r>
    <s v="#2000007907747182"/>
    <x v="0"/>
    <x v="138"/>
    <s v="Lanterna Traseira P/ Sprinter Esquerdo 314/416/516"/>
    <s v="#3722434654"/>
    <n v="1"/>
    <n v="1223"/>
    <n v="1034.29"/>
    <m/>
    <s v="OSMAR MILHOMEM JUNIOR"/>
    <s v="129.630.891-04"/>
    <s v="74815-030"/>
    <s v="BR.153 KM.1281 ALTO DA GLORIA, 2"/>
    <s v="VILA ALTO DA GLÓRIA"/>
    <s v="GOIÂNIA"/>
    <x v="2"/>
    <s v="CORREIOS"/>
    <s v="QQ978759717BR"/>
    <d v="2024-04-03T00:00:00"/>
    <n v="9977"/>
    <s v="Fora da garantia"/>
  </r>
  <r>
    <s v="#2000007961143584"/>
    <x v="0"/>
    <x v="138"/>
    <s v="Farol Sealed Beam 140mm 12v Original General Eletric"/>
    <s v="#4498876918"/>
    <n v="4"/>
    <n v="59.99"/>
    <n v="175.16"/>
    <m/>
    <s v="GENIVALDO FLORI"/>
    <s v="474.503.636-15"/>
    <s v="41150-020"/>
    <s v="RUA SILVEIRA MARTINS CONJUNTO COLINA DAS ÁRVORES CABULA, 70"/>
    <s v="CABULA"/>
    <s v="SALVADOR"/>
    <x v="6"/>
    <s v="CORREIOS"/>
    <s v="QR103279349BR"/>
    <d v="2024-04-10T00:00:00"/>
    <m/>
    <s v="Fora da garantia"/>
  </r>
  <r>
    <s v="#2000005592056833"/>
    <x v="0"/>
    <x v="139"/>
    <s v="Freio De Mão Sprinter Cdi Alavanca 313 2006 2007 2008 2009"/>
    <m/>
    <n v="1"/>
    <n v="692.36"/>
    <n v="549.71"/>
    <m/>
    <s v="VIVIANE CUNHA"/>
    <s v="085.210.147-32"/>
    <s v="29175-443"/>
    <s v="RUA PADRE NÓBREGA, 18 "/>
    <s v="RESIDENCIAL JACARAÍPE"/>
    <s v="SERRA "/>
    <x v="14"/>
    <s v="CORREIOS"/>
    <s v="QR088779274BR"/>
    <d v="2024-04-12T00:00:00"/>
    <m/>
    <s v="Fora da garantia"/>
  </r>
  <r>
    <s v="#2000007911198618"/>
    <x v="0"/>
    <x v="140"/>
    <s v="Sprinter Tubo De Agua De Refrigeração Cdi | Mercedes-benz"/>
    <s v="#3611174137"/>
    <n v="1"/>
    <n v="529.99"/>
    <n v="415.94"/>
    <m/>
    <s v="BRUNO MOREIRA"/>
    <s v="068.151.426-47"/>
    <s v="36504-174"/>
    <s v="RUA MAJOR TITO CESAR, 682"/>
    <s v="BOM PASTOR"/>
    <s v="UBÁ"/>
    <x v="3"/>
    <s v="CORREIOS"/>
    <s v="DO993697793BR"/>
    <d v="2024-04-01T00:00:00"/>
    <n v="9976"/>
    <s v="Fora da garantia"/>
  </r>
  <r>
    <s v="#2000007912183614"/>
    <x v="0"/>
    <x v="140"/>
    <s v="Tubo De Retorno Bico Injetor Sprinter 311/313 A6110708432"/>
    <s v="#4477807312"/>
    <n v="1"/>
    <n v="159.99"/>
    <n v="120.34"/>
    <m/>
    <s v="YASMIN ELIAS ELIAS DA SILVA E SOUZA"/>
    <s v="116.644.837-13"/>
    <s v="29645-000"/>
    <s v="AVENIDA FREDERICO GRULKE, 1774"/>
    <s v="CENTRO"/>
    <s v="SANTA MARIA DE JETIBÁ"/>
    <x v="14"/>
    <s v="CORREIOS"/>
    <s v="DO997931205BR"/>
    <d v="2024-04-01T00:00:00"/>
    <n v="9975"/>
    <s v="Fora da garantia"/>
  </r>
  <r>
    <s v="#2000007917660844"/>
    <x v="1"/>
    <x v="140"/>
    <s v="Farol Sealed Beam 140mm 12v Original General Eletric"/>
    <s v="#4498876918"/>
    <n v="2"/>
    <n v="59.99"/>
    <n v="-87.58"/>
    <m/>
    <s v="VITOR FRANÇA MONTEIRO"/>
    <s v="110.887.527-05"/>
    <m/>
    <m/>
    <m/>
    <m/>
    <x v="16"/>
    <m/>
    <m/>
    <m/>
    <m/>
    <s v=""/>
  </r>
  <r>
    <s v="#2000005567921085"/>
    <x v="0"/>
    <x v="141"/>
    <s v="General Eletronic Farol Sealed Beam 140mm 12v Original"/>
    <s v="#4498855500"/>
    <n v="4"/>
    <n v="59.99"/>
    <n v="187.16"/>
    <m/>
    <s v="WALMIR RODERMEL"/>
    <s v="048.408.119-54"/>
    <s v="89520-000"/>
    <s v="BR 470 KM 243, SN"/>
    <s v="GETÚLIO VARGAS"/>
    <s v="CURITIBANOS"/>
    <x v="10"/>
    <s v="CORREIOS"/>
    <s v="QQ978732285BR"/>
    <d v="2024-04-03T00:00:00"/>
    <m/>
    <s v="Fora da garantia"/>
  </r>
  <r>
    <s v="#2000007875914922"/>
    <x v="0"/>
    <x v="142"/>
    <s v="Refletor Parachoque Tras. Lado Direito Sprinter 415/515"/>
    <s v="#3622844781"/>
    <n v="1"/>
    <n v="119.99"/>
    <n v="78.64"/>
    <m/>
    <s v="RAFHAEL BONAT"/>
    <s v="922.344.709-78"/>
    <s v="78110-066"/>
    <s v="RUA ANA PORFIRIA DE CAMPOS, 46"/>
    <s v="CENTRO-SUL"/>
    <s v="VÁRZEA GRANDE"/>
    <x v="13"/>
    <s v="CORREIOS"/>
    <s v="QQ916470284BR"/>
    <d v="2024-03-30T00:00:00"/>
    <m/>
    <s v="Fora da garantia"/>
  </r>
  <r>
    <s v="#2000007863941342"/>
    <x v="1"/>
    <x v="143"/>
    <s v="Refletor Parachoque Tras. Lado Esquerdo Sprinter 415/515"/>
    <s v="#3622845355"/>
    <n v="1"/>
    <n v="119.97"/>
    <n v="-99.58"/>
    <s v="Cliente se enganou"/>
    <s v="JAINY SANTANA"/>
    <s v="052.728.594-30"/>
    <m/>
    <m/>
    <m/>
    <m/>
    <x v="16"/>
    <m/>
    <m/>
    <m/>
    <m/>
    <s v=""/>
  </r>
  <r>
    <s v="#2000007854351004"/>
    <x v="0"/>
    <x v="144"/>
    <s v="Boia Tanque Mb Sprinter 310d /312d /311cdi /313cdi /412cdi"/>
    <s v="#2708946936"/>
    <n v="1"/>
    <n v="2050"/>
    <n v="1676.55"/>
    <m/>
    <s v="BRENO ANDRADE"/>
    <s v="946.034.992-72"/>
    <s v="76870-154"/>
    <s v="RUA CASTANHEIRA, 1794"/>
    <s v="SETOR 01"/>
    <s v="ARIQUEMES"/>
    <x v="19"/>
    <s v="CORREIOS"/>
    <s v="DO948959309BR"/>
    <d v="2024-03-26T00:00:00"/>
    <m/>
    <s v="Fora da garantia"/>
  </r>
  <r>
    <s v="#2000007850976906"/>
    <x v="0"/>
    <x v="145"/>
    <s v="Freio De Mão Sprinter Cdi Alavanca 313 2006 2007 2008 2009"/>
    <s v="#3738471296"/>
    <n v="1"/>
    <n v="692.36"/>
    <n v="549.71"/>
    <m/>
    <s v="ELIENIO SILVA"/>
    <s v="974.070.976-15"/>
    <s v="35338-000"/>
    <s v="AGENOR REZENDE, 11"/>
    <s v="JOÃO CARLOTA"/>
    <s v="UBAPORANGA"/>
    <x v="3"/>
    <s v="CORREIOS"/>
    <s v="QQ894228900BR"/>
    <d v="2024-03-25T00:00:00"/>
    <m/>
    <s v="Fora da garantia"/>
  </r>
  <r>
    <s v="#2000007827277140"/>
    <x v="0"/>
    <x v="146"/>
    <s v="Farol Sealed Beam 140mm 12v Original General Eletric"/>
    <s v="#4498876918"/>
    <n v="6"/>
    <n v="17.989999999999998"/>
    <n v="57.18"/>
    <m/>
    <s v="DIMAS ANTONIO GRANDIS"/>
    <s v="966.327.718-15"/>
    <s v="13425-084"/>
    <s v="AVENIDA FRANCISCO LUIZ RASERA, 687"/>
    <s v="JARDIM CALIFÓRNIA"/>
    <s v="PIRACICABA"/>
    <x v="0"/>
    <s v="CORREIOS"/>
    <s v="QQ870208066BR"/>
    <d v="2024-03-20T00:00:00"/>
    <m/>
    <s v="Fora da garantia"/>
  </r>
  <r>
    <s v="#2000007734893516"/>
    <x v="0"/>
    <x v="147"/>
    <s v="Spray Anti-ferrug/lubrif300ml"/>
    <m/>
    <n v="1"/>
    <n v="9.99"/>
    <n v="2.69"/>
    <m/>
    <s v="HUGO GOMES"/>
    <s v="181.896.957-20"/>
    <s v="28929-356"/>
    <s v="RUA ALBACORA, 17"/>
    <s v="VIVAMAR (TAMOIOS)"/>
    <s v="CABO FRIO"/>
    <x v="5"/>
    <s v="CORREIOS"/>
    <s v="QQ793520362BR"/>
    <d v="2024-03-06T00:00:00"/>
    <m/>
    <s v="Fora da garantia"/>
  </r>
  <r>
    <s v="#2000007757480402"/>
    <x v="0"/>
    <x v="147"/>
    <s v="Sprinter Alavanca De Freio De Mão Cdi"/>
    <s v="#3738471296"/>
    <n v="1"/>
    <n v="698"/>
    <n v="555.89"/>
    <m/>
    <s v="EDGAR ROSSW"/>
    <s v="121.503.377-03"/>
    <s v="29167-028"/>
    <s v="RUA GUANABARA, 9"/>
    <s v="ALTEROSAS"/>
    <s v="SERRA"/>
    <x v="14"/>
    <s v="CORREIOS"/>
    <s v="QQ810967648BR"/>
    <d v="2024-03-12T00:00:00"/>
    <m/>
    <s v="Fora da garantia"/>
  </r>
  <r>
    <s v="#2000005475263313"/>
    <x v="1"/>
    <x v="148"/>
    <s v="Farol Sealed Beam 180mm 12v | General Eletric Original"/>
    <m/>
    <n v="2"/>
    <n v="19.989999999999998"/>
    <n v="-56.34"/>
    <s v="Cancelou porque não podia esperar o produto."/>
    <s v="MARCELO HESSE"/>
    <s v="024.850.899-73"/>
    <s v="82210-210"/>
    <s v="RUA RODOLFO REKSIDLER, 166"/>
    <s v="SÃO LOURENÇO"/>
    <s v="CURITIBA "/>
    <x v="7"/>
    <m/>
    <m/>
    <m/>
    <m/>
    <s v=""/>
  </r>
  <r>
    <s v="#2000007673691066"/>
    <x v="0"/>
    <x v="149"/>
    <s v="Limpa Pneus Premium - Radnaq 500ml"/>
    <s v="#4423764682"/>
    <n v="1"/>
    <n v="11.2"/>
    <n v="3.3"/>
    <m/>
    <s v="LUCILENE DE SOUZA"/>
    <s v="115.439.077-25"/>
    <s v="23555-143"/>
    <s v="RUA JÚLIO JOSÉ DA SILVA, 32"/>
    <s v="SANTA CRUZ"/>
    <s v="RIO DE JANEIRO"/>
    <x v="5"/>
    <s v="CORREIOS"/>
    <s v="DO822244390BR"/>
    <d v="2024-02-24T00:00:00"/>
    <m/>
    <s v="Fora da garantia"/>
  </r>
  <r>
    <s v="#2000007647551322"/>
    <x v="0"/>
    <x v="150"/>
    <s v="Carteira Porta Documentos Para Veículos Personalizado."/>
    <m/>
    <n v="1"/>
    <n v="12.07"/>
    <n v="3.78"/>
    <m/>
    <s v="ISABELA NUNES"/>
    <s v="170.224.567-55"/>
    <s v="22790-702"/>
    <s v="RUA MARCOS PAULO, 101"/>
    <s v="RECREIO DOS BANDEIRANTES"/>
    <s v="RIO DE JANEIRO"/>
    <x v="5"/>
    <s v="CORREIOS"/>
    <s v="DO806567330BR"/>
    <d v="2024-02-22T00:00:00"/>
    <m/>
    <s v="Fora da garantia"/>
  </r>
  <r>
    <s v="#2000007618450262"/>
    <x v="0"/>
    <x v="151"/>
    <s v="Carteira Porta Documentos Para Veículos Personalizado."/>
    <m/>
    <n v="1"/>
    <n v="12.01"/>
    <n v="3.78"/>
    <m/>
    <s v="VANDRÉ VIANNA FERNANDES"/>
    <s v="100.518.297-38"/>
    <s v="22790-714"/>
    <s v="AVENIDA SALVADOR ALLENDE 6300"/>
    <s v="RECREIO DOS BANDEIRANTES"/>
    <s v="RIO DE JANEIRO"/>
    <x v="5"/>
    <s v="CORREIOS"/>
    <s v="DO789450890BR"/>
    <d v="2024-02-20T00:00:00"/>
    <m/>
    <s v="Fora da garantia"/>
  </r>
  <r>
    <s v="#2000007612386294"/>
    <x v="0"/>
    <x v="151"/>
    <s v="Boia Tanque Mb Sprinter 310d /312d /311cdi /313cdi /412cdi"/>
    <s v="#2708946936"/>
    <n v="1"/>
    <n v="2050"/>
    <n v="1671.56"/>
    <m/>
    <s v="LUCAS JOSÉ DA SILVA"/>
    <s v="061.626.125-03"/>
    <s v="45900-000"/>
    <s v="JUERANA RUA CANAVIEIRAS 218"/>
    <s v="JUERANA CARAVELAS"/>
    <s v="CARAVELAS"/>
    <x v="6"/>
    <s v="CORREIOS"/>
    <s v="DO789487886BR"/>
    <d v="2024-02-27T00:00:00"/>
    <m/>
    <s v="Fora da garantia"/>
  </r>
  <r>
    <s v="#2000007302119730"/>
    <x v="0"/>
    <x v="152"/>
    <s v="Sprinter Alavanca De Freio De Mão Cdi"/>
    <s v="#3738471296"/>
    <n v="1"/>
    <n v="720"/>
    <n v="606.66"/>
    <m/>
    <m/>
    <m/>
    <m/>
    <m/>
    <m/>
    <m/>
    <x v="16"/>
    <m/>
    <m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32830-A2A3-4F58-B73D-163390BDED05}" name="PivotChartTable1" cacheId="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2">
  <location ref="A1:C33" firstHeaderRow="1" firstDataRow="2" firstDataCol="1"/>
  <pivotFields count="4">
    <pivotField axis="axisCol" allDrilled="1" subtotalTop="0" showAll="0" dataSourceSort="1" defaultSubtotal="0" defaultAttributeDrillState="1">
      <items count="1">
        <item s="1" x="0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</pivotFields>
  <rowFields count="2">
    <field x="1"/>
    <field x="2"/>
  </rowFields>
  <rowItems count="3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t="grand">
      <x/>
    </i>
  </rowItems>
  <colFields count="1">
    <field x="0"/>
  </colFields>
  <colItems count="2">
    <i>
      <x/>
    </i>
    <i t="grand">
      <x/>
    </i>
  </colItems>
  <dataFields count="1">
    <dataField name="Soma de A receber" fld="3" baseField="0" baseItem="0"/>
  </dataFields>
  <chartFormats count="8">
    <chartFormat chart="0" format="105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194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87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</references>
      </pivotArea>
    </chartFormat>
    <chartFormat chart="0" format="188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</references>
      </pivotArea>
    </chartFormat>
    <chartFormat chart="0" format="189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</references>
      </pivotArea>
    </chartFormat>
    <chartFormat chart="0" format="19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</references>
      </pivotArea>
    </chartFormat>
    <chartFormat chart="0" format="19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Soma de A receber"/>
    <pivotHierarchy dragToData="1" caption="Contagem de A receber"/>
    <pivotHierarchy dragToData="1"/>
  </pivotHierarchies>
  <rowHierarchiesUsage count="2">
    <rowHierarchyUsage hierarchyUsage="29"/>
    <rowHierarchyUsage hierarchyUsage="31"/>
  </rowHierarchiesUsage>
  <colHierarchiesUsage count="1">
    <colHierarchyUsage hierarchyUsage="2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31" columnCount="2" cacheId="1089098919">
        <x15:pivotRow count="2">
          <x15:c t="e">
            <x15:v/>
          </x15:c>
          <x15:c t="e">
            <x15:v/>
          </x15:c>
        </x15:pivotRow>
        <x15:pivotRow count="2">
          <x15:c>
            <x15:v>606.66</x15:v>
          </x15:c>
          <x15:c>
            <x15:v>606.66</x15:v>
          </x15:c>
        </x15:pivotRow>
        <x15:pivotRow count="2">
          <x15:c>
            <x15:v>1682.42</x15:v>
          </x15:c>
          <x15:c>
            <x15:v>1682.42</x15:v>
          </x15:c>
        </x15:pivotRow>
        <x15:pivotRow count="2">
          <x15:c>
            <x15:v>3644.1</x15:v>
          </x15:c>
          <x15:c>
            <x15:v>3644.1</x15:v>
          </x15:c>
        </x15:pivotRow>
        <x15:pivotRow count="2">
          <x15:c>
            <x15:v>6531.04</x15:v>
          </x15:c>
          <x15:c>
            <x15:v>6531.04</x15:v>
          </x15:c>
        </x15:pivotRow>
        <x15:pivotRow count="2">
          <x15:c>
            <x15:v>4676.1899999999996</x15:v>
          </x15:c>
          <x15:c>
            <x15:v>4676.1899999999996</x15:v>
          </x15:c>
        </x15:pivotRow>
        <x15:pivotRow count="2">
          <x15:c>
            <x15:v>4934.29</x15:v>
          </x15:c>
          <x15:c>
            <x15:v>4934.29</x15:v>
          </x15:c>
        </x15:pivotRow>
        <x15:pivotRow count="2">
          <x15:c>
            <x15:v>495.04</x15:v>
          </x15:c>
          <x15:c>
            <x15:v>495.04</x15:v>
          </x15:c>
        </x15:pivotRow>
        <x15:pivotRow count="2">
          <x15:c>
            <x15:v>144.54</x15:v>
          </x15:c>
          <x15:c>
            <x15:v>144.54</x15:v>
          </x15:c>
        </x15:pivotRow>
        <x15:pivotRow count="2">
          <x15:c>
            <x15:v>4443.1400000000003</x15:v>
          </x15:c>
          <x15:c>
            <x15:v>4443.1400000000003</x15:v>
          </x15:c>
        </x15:pivotRow>
        <x15:pivotRow count="2">
          <x15:c>
            <x15:v>284.72000000000003</x15:v>
          </x15:c>
          <x15:c>
            <x15:v>284.72000000000003</x15:v>
          </x15:c>
        </x15:pivotRow>
        <x15:pivotRow count="2">
          <x15:c>
            <x15:v>622.66999999999996</x15:v>
          </x15:c>
          <x15:c>
            <x15:v>622.66999999999996</x15:v>
          </x15:c>
        </x15:pivotRow>
        <x15:pivotRow count="2">
          <x15:c>
            <x15:v>1305.04</x15:v>
          </x15:c>
          <x15:c>
            <x15:v>1305.04</x15:v>
          </x15:c>
        </x15:pivotRow>
        <x15:pivotRow count="2">
          <x15:c t="e">
            <x15:v/>
          </x15:c>
          <x15:c t="e">
            <x15:v/>
          </x15:c>
        </x15:pivotRow>
        <x15:pivotRow count="2">
          <x15:c>
            <x15:v>8959.39</x15:v>
          </x15:c>
          <x15:c>
            <x15:v>8959.39</x15:v>
          </x15:c>
        </x15:pivotRow>
        <x15:pivotRow count="2">
          <x15:c>
            <x15:v>1035.69</x15:v>
          </x15:c>
          <x15:c>
            <x15:v>1035.69</x15:v>
          </x15:c>
        </x15:pivotRow>
        <x15:pivotRow count="2">
          <x15:c>
            <x15:v>5078.76</x15:v>
          </x15:c>
          <x15:c>
            <x15:v>5078.76</x15:v>
          </x15:c>
        </x15:pivotRow>
        <x15:pivotRow count="2">
          <x15:c>
            <x15:v>1357.67</x15:v>
          </x15:c>
          <x15:c>
            <x15:v>1357.67</x15:v>
          </x15:c>
        </x15:pivotRow>
        <x15:pivotRow count="2">
          <x15:c>
            <x15:v>1007.73</x15:v>
          </x15:c>
          <x15:c>
            <x15:v>1007.73</x15:v>
          </x15:c>
        </x15:pivotRow>
        <x15:pivotRow count="2">
          <x15:c>
            <x15:v>1653.56</x15:v>
          </x15:c>
          <x15:c>
            <x15:v>1653.56</x15:v>
          </x15:c>
        </x15:pivotRow>
        <x15:pivotRow count="2">
          <x15:c>
            <x15:v>1232.1199999999999</x15:v>
          </x15:c>
          <x15:c>
            <x15:v>1232.1199999999999</x15:v>
          </x15:c>
        </x15:pivotRow>
        <x15:pivotRow count="2">
          <x15:c>
            <x15:v>1832.36</x15:v>
          </x15:c>
          <x15:c>
            <x15:v>1832.36</x15:v>
          </x15:c>
        </x15:pivotRow>
        <x15:pivotRow count="2">
          <x15:c>
            <x15:v>2889.23</x15:v>
          </x15:c>
          <x15:c>
            <x15:v>2889.23</x15:v>
          </x15:c>
        </x15:pivotRow>
        <x15:pivotRow count="2">
          <x15:c>
            <x15:v>1619.83</x15:v>
          </x15:c>
          <x15:c>
            <x15:v>1619.83</x15:v>
          </x15:c>
        </x15:pivotRow>
        <x15:pivotRow count="2">
          <x15:c>
            <x15:v>3961.24</x15:v>
          </x15:c>
          <x15:c>
            <x15:v>3961.24</x15:v>
          </x15:c>
        </x15:pivotRow>
        <x15:pivotRow count="2">
          <x15:c>
            <x15:v>267.27999999999997</x15:v>
          </x15:c>
          <x15:c>
            <x15:v>267.27999999999997</x15:v>
          </x15:c>
        </x15:pivotRow>
        <x15:pivotRow count="2">
          <x15:c t="e">
            <x15:v/>
          </x15:c>
          <x15:c t="e">
            <x15:v/>
          </x15:c>
        </x15:pivotRow>
        <x15:pivotRow count="2">
          <x15:c>
            <x15:v>1902.74</x15:v>
          </x15:c>
          <x15:c>
            <x15:v>1902.74</x15:v>
          </x15:c>
        </x15:pivotRow>
        <x15:pivotRow count="2">
          <x15:c>
            <x15:v>551.26</x15:v>
          </x15:c>
          <x15:c>
            <x15:v>551.26</x15:v>
          </x15:c>
        </x15:pivotRow>
        <x15:pivotRow count="2">
          <x15:c>
            <x15:v>1178.96</x15:v>
          </x15:c>
          <x15:c>
            <x15:v>1178.96</x15:v>
          </x15:c>
        </x15:pivotRow>
        <x15:pivotRow count="2">
          <x15:c>
            <x15:v>63897.67</x15:v>
          </x15:c>
          <x15:c>
            <x15:v>63897.67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D937EC-806A-4340-BD70-55D7930B1916}" name="Tabela dinâmica2" cacheId="0" applyNumberFormats="0" applyBorderFormats="0" applyFontFormats="0" applyPatternFormats="0" applyAlignmentFormats="0" applyWidthHeightFormats="1" dataCaption="Valores" updatedVersion="6" minRefreshableVersion="3" showDrill="0" itemPrintTitles="1" createdVersion="6" indent="0" outline="1" outlineData="1" multipleFieldFilters="0" chartFormat="4">
  <location ref="J254:N274" firstHeaderRow="1" firstDataRow="2" firstDataCol="1"/>
  <pivotFields count="23">
    <pivotField showAll="0"/>
    <pivotField dataField="1" showAll="0"/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2">
        <item m="1" x="20"/>
        <item x="6"/>
        <item x="8"/>
        <item x="14"/>
        <item x="2"/>
        <item x="9"/>
        <item x="3"/>
        <item x="15"/>
        <item x="13"/>
        <item x="11"/>
        <item x="12"/>
        <item x="17"/>
        <item x="7"/>
        <item x="5"/>
        <item x="18"/>
        <item x="19"/>
        <item x="4"/>
        <item x="10"/>
        <item x="0"/>
        <item h="1" x="16"/>
        <item h="1" x="1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5">
        <item x="0"/>
        <item x="1"/>
        <item x="2"/>
        <item x="3"/>
        <item x="4"/>
      </items>
    </pivotField>
  </pivotFields>
  <rowFields count="1">
    <field x="15"/>
  </rowFields>
  <rowItems count="1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22"/>
  </colFields>
  <colItems count="4">
    <i>
      <x v="1"/>
    </i>
    <i>
      <x v="2"/>
    </i>
    <i>
      <x v="3"/>
    </i>
    <i t="grand">
      <x/>
    </i>
  </colItems>
  <dataFields count="1">
    <dataField name="Contagem de Status" fld="1" subtotal="count" baseField="0" baseItem="0"/>
  </dataField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A5E574-13C0-4E68-8C91-ED3CCE68D3C6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L334:M355" firstHeaderRow="1" firstDataRow="1" firstDataCol="1"/>
  <pivotFields count="23">
    <pivotField showAll="0"/>
    <pivotField dataField="1" showAll="0"/>
    <pivotField numFmtId="165" showAll="0"/>
    <pivotField showAll="0"/>
    <pivotField showAll="0"/>
    <pivotField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2">
        <item m="1" x="20"/>
        <item x="6"/>
        <item x="8"/>
        <item x="14"/>
        <item x="2"/>
        <item x="9"/>
        <item x="3"/>
        <item x="15"/>
        <item x="13"/>
        <item x="11"/>
        <item x="12"/>
        <item x="17"/>
        <item x="7"/>
        <item x="5"/>
        <item x="18"/>
        <item x="19"/>
        <item x="4"/>
        <item x="10"/>
        <item x="0"/>
        <item x="16"/>
        <item x="1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5"/>
  </rowFields>
  <rowItems count="2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Items count="1">
    <i/>
  </colItems>
  <dataFields count="1">
    <dataField name="Contagem de Status" fld="1" subtotal="count" baseField="0" baseItem="0"/>
  </dataFields>
  <formats count="28">
    <format dxfId="1252">
      <pivotArea collapsedLevelsAreSubtotals="1" fieldPosition="0">
        <references count="1">
          <reference field="15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51">
      <pivotArea field="15" type="button" dataOnly="0" labelOnly="1" outline="0" axis="axisRow" fieldPosition="0"/>
    </format>
    <format dxfId="1250">
      <pivotArea dataOnly="0" labelOnly="1" fieldPosition="0">
        <references count="1">
          <reference field="15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49">
      <pivotArea dataOnly="0" labelOnly="1" outline="0" axis="axisValues" fieldPosition="0"/>
    </format>
    <format dxfId="1248">
      <pivotArea collapsedLevelsAreSubtotals="1" fieldPosition="0">
        <references count="1">
          <reference field="15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47">
      <pivotArea field="15" type="button" dataOnly="0" labelOnly="1" outline="0" axis="axisRow" fieldPosition="0"/>
    </format>
    <format dxfId="1246">
      <pivotArea dataOnly="0" labelOnly="1" fieldPosition="0">
        <references count="1">
          <reference field="15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45">
      <pivotArea dataOnly="0" labelOnly="1" outline="0" axis="axisValues" fieldPosition="0"/>
    </format>
    <format dxfId="1244">
      <pivotArea collapsedLevelsAreSubtotals="1" fieldPosition="0">
        <references count="1">
          <reference field="15" count="7">
            <x v="13"/>
            <x v="14"/>
            <x v="15"/>
            <x v="16"/>
            <x v="17"/>
            <x v="18"/>
            <x v="19"/>
          </reference>
        </references>
      </pivotArea>
    </format>
    <format dxfId="1243">
      <pivotArea grandRow="1" outline="0" collapsedLevelsAreSubtotals="1" fieldPosition="0"/>
    </format>
    <format dxfId="1242">
      <pivotArea dataOnly="0" labelOnly="1" fieldPosition="0">
        <references count="1">
          <reference field="15" count="7">
            <x v="13"/>
            <x v="14"/>
            <x v="15"/>
            <x v="16"/>
            <x v="17"/>
            <x v="18"/>
            <x v="19"/>
          </reference>
        </references>
      </pivotArea>
    </format>
    <format dxfId="1241">
      <pivotArea dataOnly="0" labelOnly="1" grandRow="1" outline="0" fieldPosition="0"/>
    </format>
    <format dxfId="1240">
      <pivotArea collapsedLevelsAreSubtotals="1" fieldPosition="0">
        <references count="1">
          <reference field="15" count="7">
            <x v="13"/>
            <x v="14"/>
            <x v="15"/>
            <x v="16"/>
            <x v="17"/>
            <x v="18"/>
            <x v="19"/>
          </reference>
        </references>
      </pivotArea>
    </format>
    <format dxfId="1239">
      <pivotArea grandRow="1" outline="0" collapsedLevelsAreSubtotals="1" fieldPosition="0"/>
    </format>
    <format dxfId="1238">
      <pivotArea dataOnly="0" labelOnly="1" fieldPosition="0">
        <references count="1">
          <reference field="15" count="7">
            <x v="13"/>
            <x v="14"/>
            <x v="15"/>
            <x v="16"/>
            <x v="17"/>
            <x v="18"/>
            <x v="19"/>
          </reference>
        </references>
      </pivotArea>
    </format>
    <format dxfId="1237">
      <pivotArea dataOnly="0" labelOnly="1" grandRow="1" outline="0" fieldPosition="0"/>
    </format>
    <format dxfId="1236">
      <pivotArea collapsedLevelsAreSubtotals="1" fieldPosition="0">
        <references count="1">
          <reference field="15" count="7">
            <x v="13"/>
            <x v="14"/>
            <x v="15"/>
            <x v="16"/>
            <x v="17"/>
            <x v="18"/>
            <x v="19"/>
          </reference>
        </references>
      </pivotArea>
    </format>
    <format dxfId="1235">
      <pivotArea grandRow="1" outline="0" collapsedLevelsAreSubtotals="1" fieldPosition="0"/>
    </format>
    <format dxfId="1234">
      <pivotArea dataOnly="0" labelOnly="1" fieldPosition="0">
        <references count="1">
          <reference field="15" count="7">
            <x v="13"/>
            <x v="14"/>
            <x v="15"/>
            <x v="16"/>
            <x v="17"/>
            <x v="18"/>
            <x v="19"/>
          </reference>
        </references>
      </pivotArea>
    </format>
    <format dxfId="1233">
      <pivotArea dataOnly="0" labelOnly="1" grandRow="1" outline="0" fieldPosition="0"/>
    </format>
    <format dxfId="1232">
      <pivotArea collapsedLevelsAreSubtotals="1" fieldPosition="0">
        <references count="1">
          <reference field="15" count="15"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1231">
      <pivotArea grandRow="1" outline="0" collapsedLevelsAreSubtotals="1" fieldPosition="0"/>
    </format>
    <format dxfId="1230">
      <pivotArea dataOnly="0" labelOnly="1" fieldPosition="0">
        <references count="1">
          <reference field="15" count="15"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1229">
      <pivotArea dataOnly="0" labelOnly="1" grandRow="1" outline="0" fieldPosition="0"/>
    </format>
    <format dxfId="1228">
      <pivotArea collapsedLevelsAreSubtotals="1" fieldPosition="0">
        <references count="1">
          <reference field="15" count="1">
            <x v="1"/>
          </reference>
        </references>
      </pivotArea>
    </format>
    <format dxfId="1227">
      <pivotArea field="15" type="button" dataOnly="0" labelOnly="1" outline="0" axis="axisRow" fieldPosition="0"/>
    </format>
    <format dxfId="1226">
      <pivotArea dataOnly="0" labelOnly="1" fieldPosition="0">
        <references count="1">
          <reference field="15" count="1">
            <x v="1"/>
          </reference>
        </references>
      </pivotArea>
    </format>
    <format dxfId="122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E8967C-E9D4-4E25-B055-951431BCE8F2}" name="Tabela dinâmica5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 chartFormat="7">
  <location ref="C295:H336" firstHeaderRow="1" firstDataRow="2" firstDataCol="1"/>
  <pivotFields count="23">
    <pivotField showAll="0"/>
    <pivotField axis="axisCol" showAll="0">
      <items count="7">
        <item m="1" x="4"/>
        <item x="1"/>
        <item x="2"/>
        <item x="0"/>
        <item x="3"/>
        <item m="1" x="5"/>
        <item t="default"/>
      </items>
    </pivotField>
    <pivotField axis="axisRow" dataField="1"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</pivotFields>
  <rowFields count="3">
    <field x="22"/>
    <field x="21"/>
    <field x="2"/>
  </rowFields>
  <rowItems count="40">
    <i>
      <x v="1"/>
    </i>
    <i r="1">
      <x v="1"/>
    </i>
    <i r="2">
      <x v="1"/>
    </i>
    <i r="2">
      <x v="2"/>
    </i>
    <i r="2">
      <x v="3"/>
    </i>
    <i r="1">
      <x v="2"/>
    </i>
    <i r="2">
      <x v="4"/>
    </i>
    <i r="2">
      <x v="5"/>
    </i>
    <i r="2">
      <x v="6"/>
    </i>
    <i r="1">
      <x v="3"/>
    </i>
    <i r="2">
      <x v="7"/>
    </i>
    <i r="2">
      <x v="8"/>
    </i>
    <i r="2">
      <x v="9"/>
    </i>
    <i r="1">
      <x v="4"/>
    </i>
    <i r="2">
      <x v="10"/>
    </i>
    <i r="2">
      <x v="11"/>
    </i>
    <i r="2">
      <x v="12"/>
    </i>
    <i>
      <x v="2"/>
    </i>
    <i r="1">
      <x v="1"/>
    </i>
    <i r="2">
      <x v="1"/>
    </i>
    <i r="2">
      <x v="2"/>
    </i>
    <i r="2">
      <x v="3"/>
    </i>
    <i r="1">
      <x v="2"/>
    </i>
    <i r="2">
      <x v="4"/>
    </i>
    <i r="2">
      <x v="5"/>
    </i>
    <i r="2">
      <x v="6"/>
    </i>
    <i r="1">
      <x v="3"/>
    </i>
    <i r="2">
      <x v="7"/>
    </i>
    <i r="2">
      <x v="8"/>
    </i>
    <i r="2">
      <x v="9"/>
    </i>
    <i r="1">
      <x v="4"/>
    </i>
    <i r="2">
      <x v="10"/>
    </i>
    <i r="2">
      <x v="11"/>
    </i>
    <i r="2">
      <x v="12"/>
    </i>
    <i>
      <x v="3"/>
    </i>
    <i r="1">
      <x v="1"/>
    </i>
    <i r="2">
      <x v="1"/>
    </i>
    <i r="2">
      <x v="2"/>
    </i>
    <i r="2">
      <x v="3"/>
    </i>
    <i t="grand">
      <x/>
    </i>
  </rowItems>
  <colFields count="1">
    <field x="1"/>
  </colFields>
  <colItems count="5">
    <i>
      <x v="1"/>
    </i>
    <i>
      <x v="2"/>
    </i>
    <i>
      <x v="3"/>
    </i>
    <i>
      <x v="4"/>
    </i>
    <i t="grand">
      <x/>
    </i>
  </colItems>
  <dataFields count="1">
    <dataField name="Contagem de Data da Compra" fld="2" subtotal="count" baseField="0" baseItem="0"/>
  </dataFields>
  <formats count="116">
    <format dxfId="1368">
      <pivotArea type="all" dataOnly="0" outline="0" fieldPosition="0"/>
    </format>
    <format dxfId="1367">
      <pivotArea outline="0" collapsedLevelsAreSubtotals="1" fieldPosition="0"/>
    </format>
    <format dxfId="1366">
      <pivotArea type="origin" dataOnly="0" labelOnly="1" outline="0" fieldPosition="0"/>
    </format>
    <format dxfId="1365">
      <pivotArea field="1" type="button" dataOnly="0" labelOnly="1" outline="0" axis="axisCol" fieldPosition="0"/>
    </format>
    <format dxfId="1364">
      <pivotArea type="topRight" dataOnly="0" labelOnly="1" outline="0" fieldPosition="0"/>
    </format>
    <format dxfId="1363">
      <pivotArea field="22" type="button" dataOnly="0" labelOnly="1" outline="0" axis="axisRow" fieldPosition="0"/>
    </format>
    <format dxfId="1362">
      <pivotArea dataOnly="0" labelOnly="1" fieldPosition="0">
        <references count="1">
          <reference field="22" count="2">
            <x v="1"/>
            <x v="2"/>
          </reference>
        </references>
      </pivotArea>
    </format>
    <format dxfId="1361">
      <pivotArea dataOnly="0" labelOnly="1" grandRow="1" outline="0" fieldPosition="0"/>
    </format>
    <format dxfId="1360">
      <pivotArea dataOnly="0" labelOnly="1" fieldPosition="0">
        <references count="2">
          <reference field="21" count="4">
            <x v="1"/>
            <x v="2"/>
            <x v="3"/>
            <x v="4"/>
          </reference>
          <reference field="22" count="1" selected="0">
            <x v="1"/>
          </reference>
        </references>
      </pivotArea>
    </format>
    <format dxfId="1359">
      <pivotArea dataOnly="0" labelOnly="1" fieldPosition="0">
        <references count="2">
          <reference field="21" count="1">
            <x v="1"/>
          </reference>
          <reference field="22" count="1" selected="0">
            <x v="2"/>
          </reference>
        </references>
      </pivotArea>
    </format>
    <format dxfId="1358">
      <pivotArea dataOnly="0" labelOnly="1" fieldPosition="0">
        <references count="1">
          <reference field="1" count="0"/>
        </references>
      </pivotArea>
    </format>
    <format dxfId="1357">
      <pivotArea dataOnly="0" labelOnly="1" grandCol="1" outline="0" fieldPosition="0"/>
    </format>
    <format dxfId="1356">
      <pivotArea type="all" dataOnly="0" outline="0" fieldPosition="0"/>
    </format>
    <format dxfId="1355">
      <pivotArea outline="0" collapsedLevelsAreSubtotals="1" fieldPosition="0"/>
    </format>
    <format dxfId="1354">
      <pivotArea type="origin" dataOnly="0" labelOnly="1" outline="0" fieldPosition="0"/>
    </format>
    <format dxfId="1353">
      <pivotArea field="1" type="button" dataOnly="0" labelOnly="1" outline="0" axis="axisCol" fieldPosition="0"/>
    </format>
    <format dxfId="1352">
      <pivotArea type="topRight" dataOnly="0" labelOnly="1" outline="0" fieldPosition="0"/>
    </format>
    <format dxfId="1351">
      <pivotArea field="22" type="button" dataOnly="0" labelOnly="1" outline="0" axis="axisRow" fieldPosition="0"/>
    </format>
    <format dxfId="1350">
      <pivotArea dataOnly="0" labelOnly="1" fieldPosition="0">
        <references count="1">
          <reference field="22" count="2">
            <x v="1"/>
            <x v="2"/>
          </reference>
        </references>
      </pivotArea>
    </format>
    <format dxfId="1349">
      <pivotArea dataOnly="0" labelOnly="1" grandRow="1" outline="0" fieldPosition="0"/>
    </format>
    <format dxfId="1348">
      <pivotArea dataOnly="0" labelOnly="1" fieldPosition="0">
        <references count="2">
          <reference field="21" count="4">
            <x v="1"/>
            <x v="2"/>
            <x v="3"/>
            <x v="4"/>
          </reference>
          <reference field="22" count="1" selected="0">
            <x v="1"/>
          </reference>
        </references>
      </pivotArea>
    </format>
    <format dxfId="1347">
      <pivotArea dataOnly="0" labelOnly="1" fieldPosition="0">
        <references count="2">
          <reference field="21" count="1">
            <x v="1"/>
          </reference>
          <reference field="22" count="1" selected="0">
            <x v="2"/>
          </reference>
        </references>
      </pivotArea>
    </format>
    <format dxfId="1346">
      <pivotArea dataOnly="0" labelOnly="1" fieldPosition="0">
        <references count="1">
          <reference field="1" count="0"/>
        </references>
      </pivotArea>
    </format>
    <format dxfId="1345">
      <pivotArea dataOnly="0" labelOnly="1" grandCol="1" outline="0" fieldPosition="0"/>
    </format>
    <format dxfId="1344">
      <pivotArea type="all" dataOnly="0" outline="0" fieldPosition="0"/>
    </format>
    <format dxfId="1343">
      <pivotArea outline="0" collapsedLevelsAreSubtotals="1" fieldPosition="0"/>
    </format>
    <format dxfId="1342">
      <pivotArea type="origin" dataOnly="0" labelOnly="1" outline="0" fieldPosition="0"/>
    </format>
    <format dxfId="1341">
      <pivotArea field="1" type="button" dataOnly="0" labelOnly="1" outline="0" axis="axisCol" fieldPosition="0"/>
    </format>
    <format dxfId="1340">
      <pivotArea type="topRight" dataOnly="0" labelOnly="1" outline="0" fieldPosition="0"/>
    </format>
    <format dxfId="1339">
      <pivotArea field="22" type="button" dataOnly="0" labelOnly="1" outline="0" axis="axisRow" fieldPosition="0"/>
    </format>
    <format dxfId="1338">
      <pivotArea dataOnly="0" labelOnly="1" fieldPosition="0">
        <references count="1">
          <reference field="22" count="2">
            <x v="1"/>
            <x v="2"/>
          </reference>
        </references>
      </pivotArea>
    </format>
    <format dxfId="1337">
      <pivotArea dataOnly="0" labelOnly="1" grandRow="1" outline="0" fieldPosition="0"/>
    </format>
    <format dxfId="1336">
      <pivotArea dataOnly="0" labelOnly="1" fieldPosition="0">
        <references count="2">
          <reference field="21" count="4">
            <x v="1"/>
            <x v="2"/>
            <x v="3"/>
            <x v="4"/>
          </reference>
          <reference field="22" count="1" selected="0">
            <x v="1"/>
          </reference>
        </references>
      </pivotArea>
    </format>
    <format dxfId="1335">
      <pivotArea dataOnly="0" labelOnly="1" fieldPosition="0">
        <references count="2">
          <reference field="21" count="1">
            <x v="1"/>
          </reference>
          <reference field="22" count="1" selected="0">
            <x v="2"/>
          </reference>
        </references>
      </pivotArea>
    </format>
    <format dxfId="1334">
      <pivotArea dataOnly="0" labelOnly="1" fieldPosition="0">
        <references count="1">
          <reference field="1" count="0"/>
        </references>
      </pivotArea>
    </format>
    <format dxfId="1333">
      <pivotArea dataOnly="0" labelOnly="1" grandCol="1" outline="0" fieldPosition="0"/>
    </format>
    <format dxfId="1332">
      <pivotArea type="all" dataOnly="0" outline="0" fieldPosition="0"/>
    </format>
    <format dxfId="1331">
      <pivotArea outline="0" collapsedLevelsAreSubtotals="1" fieldPosition="0"/>
    </format>
    <format dxfId="1330">
      <pivotArea type="origin" dataOnly="0" labelOnly="1" outline="0" fieldPosition="0"/>
    </format>
    <format dxfId="1329">
      <pivotArea field="1" type="button" dataOnly="0" labelOnly="1" outline="0" axis="axisCol" fieldPosition="0"/>
    </format>
    <format dxfId="1328">
      <pivotArea type="topRight" dataOnly="0" labelOnly="1" outline="0" fieldPosition="0"/>
    </format>
    <format dxfId="1327">
      <pivotArea field="22" type="button" dataOnly="0" labelOnly="1" outline="0" axis="axisRow" fieldPosition="0"/>
    </format>
    <format dxfId="1326">
      <pivotArea dataOnly="0" labelOnly="1" fieldPosition="0">
        <references count="1">
          <reference field="22" count="2">
            <x v="1"/>
            <x v="2"/>
          </reference>
        </references>
      </pivotArea>
    </format>
    <format dxfId="1325">
      <pivotArea dataOnly="0" labelOnly="1" grandRow="1" outline="0" fieldPosition="0"/>
    </format>
    <format dxfId="1324">
      <pivotArea dataOnly="0" labelOnly="1" fieldPosition="0">
        <references count="2">
          <reference field="21" count="4">
            <x v="1"/>
            <x v="2"/>
            <x v="3"/>
            <x v="4"/>
          </reference>
          <reference field="22" count="1" selected="0">
            <x v="1"/>
          </reference>
        </references>
      </pivotArea>
    </format>
    <format dxfId="1323">
      <pivotArea dataOnly="0" labelOnly="1" fieldPosition="0">
        <references count="2">
          <reference field="21" count="1">
            <x v="1"/>
          </reference>
          <reference field="22" count="1" selected="0">
            <x v="2"/>
          </reference>
        </references>
      </pivotArea>
    </format>
    <format dxfId="1322">
      <pivotArea dataOnly="0" labelOnly="1" fieldPosition="0">
        <references count="1">
          <reference field="1" count="0"/>
        </references>
      </pivotArea>
    </format>
    <format dxfId="1321">
      <pivotArea dataOnly="0" labelOnly="1" grandCol="1" outline="0" fieldPosition="0"/>
    </format>
    <format dxfId="1320">
      <pivotArea type="all" dataOnly="0" outline="0" fieldPosition="0"/>
    </format>
    <format dxfId="1319">
      <pivotArea type="all" dataOnly="0" outline="0" fieldPosition="0"/>
    </format>
    <format dxfId="1318">
      <pivotArea outline="0" collapsedLevelsAreSubtotals="1" fieldPosition="0"/>
    </format>
    <format dxfId="1317">
      <pivotArea type="origin" dataOnly="0" labelOnly="1" outline="0" fieldPosition="0"/>
    </format>
    <format dxfId="1316">
      <pivotArea field="1" type="button" dataOnly="0" labelOnly="1" outline="0" axis="axisCol" fieldPosition="0"/>
    </format>
    <format dxfId="1315">
      <pivotArea type="topRight" dataOnly="0" labelOnly="1" outline="0" fieldPosition="0"/>
    </format>
    <format dxfId="1314">
      <pivotArea field="22" type="button" dataOnly="0" labelOnly="1" outline="0" axis="axisRow" fieldPosition="0"/>
    </format>
    <format dxfId="1313">
      <pivotArea dataOnly="0" labelOnly="1" fieldPosition="0">
        <references count="1">
          <reference field="22" count="2">
            <x v="1"/>
            <x v="2"/>
          </reference>
        </references>
      </pivotArea>
    </format>
    <format dxfId="1312">
      <pivotArea dataOnly="0" labelOnly="1" grandRow="1" outline="0" fieldPosition="0"/>
    </format>
    <format dxfId="1311">
      <pivotArea dataOnly="0" labelOnly="1" fieldPosition="0">
        <references count="2">
          <reference field="21" count="4">
            <x v="1"/>
            <x v="2"/>
            <x v="3"/>
            <x v="4"/>
          </reference>
          <reference field="22" count="1" selected="0">
            <x v="1"/>
          </reference>
        </references>
      </pivotArea>
    </format>
    <format dxfId="1310">
      <pivotArea dataOnly="0" labelOnly="1" fieldPosition="0">
        <references count="2">
          <reference field="21" count="1">
            <x v="1"/>
          </reference>
          <reference field="22" count="1" selected="0">
            <x v="2"/>
          </reference>
        </references>
      </pivotArea>
    </format>
    <format dxfId="1309">
      <pivotArea dataOnly="0" labelOnly="1" fieldPosition="0">
        <references count="1">
          <reference field="1" count="0"/>
        </references>
      </pivotArea>
    </format>
    <format dxfId="1308">
      <pivotArea dataOnly="0" labelOnly="1" grandCol="1" outline="0" fieldPosition="0"/>
    </format>
    <format dxfId="1307">
      <pivotArea type="all" dataOnly="0" outline="0" fieldPosition="0"/>
    </format>
    <format dxfId="1306">
      <pivotArea outline="0" collapsedLevelsAreSubtotals="1" fieldPosition="0"/>
    </format>
    <format dxfId="1305">
      <pivotArea type="origin" dataOnly="0" labelOnly="1" outline="0" fieldPosition="0"/>
    </format>
    <format dxfId="1304">
      <pivotArea field="1" type="button" dataOnly="0" labelOnly="1" outline="0" axis="axisCol" fieldPosition="0"/>
    </format>
    <format dxfId="1303">
      <pivotArea type="topRight" dataOnly="0" labelOnly="1" outline="0" fieldPosition="0"/>
    </format>
    <format dxfId="1302">
      <pivotArea field="22" type="button" dataOnly="0" labelOnly="1" outline="0" axis="axisRow" fieldPosition="0"/>
    </format>
    <format dxfId="1301">
      <pivotArea dataOnly="0" labelOnly="1" fieldPosition="0">
        <references count="1">
          <reference field="22" count="2">
            <x v="1"/>
            <x v="2"/>
          </reference>
        </references>
      </pivotArea>
    </format>
    <format dxfId="1300">
      <pivotArea dataOnly="0" labelOnly="1" grandRow="1" outline="0" fieldPosition="0"/>
    </format>
    <format dxfId="1299">
      <pivotArea dataOnly="0" labelOnly="1" fieldPosition="0">
        <references count="2">
          <reference field="21" count="4">
            <x v="1"/>
            <x v="2"/>
            <x v="3"/>
            <x v="4"/>
          </reference>
          <reference field="22" count="1" selected="0">
            <x v="1"/>
          </reference>
        </references>
      </pivotArea>
    </format>
    <format dxfId="1298">
      <pivotArea dataOnly="0" labelOnly="1" fieldPosition="0">
        <references count="2">
          <reference field="21" count="1">
            <x v="1"/>
          </reference>
          <reference field="22" count="1" selected="0">
            <x v="2"/>
          </reference>
        </references>
      </pivotArea>
    </format>
    <format dxfId="1297">
      <pivotArea dataOnly="0" labelOnly="1" fieldPosition="0">
        <references count="1">
          <reference field="1" count="0"/>
        </references>
      </pivotArea>
    </format>
    <format dxfId="1296">
      <pivotArea dataOnly="0" labelOnly="1" grandCol="1" outline="0" fieldPosition="0"/>
    </format>
    <format dxfId="1295">
      <pivotArea type="all" dataOnly="0" outline="0" fieldPosition="0"/>
    </format>
    <format dxfId="1294">
      <pivotArea outline="0" collapsedLevelsAreSubtotals="1" fieldPosition="0"/>
    </format>
    <format dxfId="1293">
      <pivotArea type="origin" dataOnly="0" labelOnly="1" outline="0" fieldPosition="0"/>
    </format>
    <format dxfId="1292">
      <pivotArea field="1" type="button" dataOnly="0" labelOnly="1" outline="0" axis="axisCol" fieldPosition="0"/>
    </format>
    <format dxfId="1291">
      <pivotArea type="topRight" dataOnly="0" labelOnly="1" outline="0" fieldPosition="0"/>
    </format>
    <format dxfId="1290">
      <pivotArea field="22" type="button" dataOnly="0" labelOnly="1" outline="0" axis="axisRow" fieldPosition="0"/>
    </format>
    <format dxfId="1289">
      <pivotArea dataOnly="0" labelOnly="1" fieldPosition="0">
        <references count="1">
          <reference field="22" count="2">
            <x v="1"/>
            <x v="2"/>
          </reference>
        </references>
      </pivotArea>
    </format>
    <format dxfId="1288">
      <pivotArea dataOnly="0" labelOnly="1" grandRow="1" outline="0" fieldPosition="0"/>
    </format>
    <format dxfId="1287">
      <pivotArea dataOnly="0" labelOnly="1" fieldPosition="0">
        <references count="2">
          <reference field="21" count="4">
            <x v="1"/>
            <x v="2"/>
            <x v="3"/>
            <x v="4"/>
          </reference>
          <reference field="22" count="1" selected="0">
            <x v="1"/>
          </reference>
        </references>
      </pivotArea>
    </format>
    <format dxfId="1286">
      <pivotArea dataOnly="0" labelOnly="1" fieldPosition="0">
        <references count="2">
          <reference field="21" count="1">
            <x v="1"/>
          </reference>
          <reference field="22" count="1" selected="0">
            <x v="2"/>
          </reference>
        </references>
      </pivotArea>
    </format>
    <format dxfId="1285">
      <pivotArea dataOnly="0" labelOnly="1" fieldPosition="0">
        <references count="1">
          <reference field="1" count="0"/>
        </references>
      </pivotArea>
    </format>
    <format dxfId="1284">
      <pivotArea dataOnly="0" labelOnly="1" grandCol="1" outline="0" fieldPosition="0"/>
    </format>
    <format dxfId="1283">
      <pivotArea type="all" dataOnly="0" outline="0" fieldPosition="0"/>
    </format>
    <format dxfId="1282">
      <pivotArea outline="0" collapsedLevelsAreSubtotals="1" fieldPosition="0"/>
    </format>
    <format dxfId="1281">
      <pivotArea type="origin" dataOnly="0" labelOnly="1" outline="0" fieldPosition="0"/>
    </format>
    <format dxfId="1280">
      <pivotArea field="1" type="button" dataOnly="0" labelOnly="1" outline="0" axis="axisCol" fieldPosition="0"/>
    </format>
    <format dxfId="1279">
      <pivotArea type="topRight" dataOnly="0" labelOnly="1" outline="0" fieldPosition="0"/>
    </format>
    <format dxfId="1278">
      <pivotArea field="22" type="button" dataOnly="0" labelOnly="1" outline="0" axis="axisRow" fieldPosition="0"/>
    </format>
    <format dxfId="1277">
      <pivotArea dataOnly="0" labelOnly="1" fieldPosition="0">
        <references count="1">
          <reference field="22" count="1">
            <x v="2"/>
          </reference>
        </references>
      </pivotArea>
    </format>
    <format dxfId="1276">
      <pivotArea dataOnly="0" labelOnly="1" grandRow="1" outline="0" fieldPosition="0"/>
    </format>
    <format dxfId="1275">
      <pivotArea dataOnly="0" labelOnly="1" fieldPosition="0">
        <references count="2">
          <reference field="21" count="1">
            <x v="1"/>
          </reference>
          <reference field="22" count="1" selected="0">
            <x v="2"/>
          </reference>
        </references>
      </pivotArea>
    </format>
    <format dxfId="1274">
      <pivotArea dataOnly="0" labelOnly="1" fieldPosition="0">
        <references count="3">
          <reference field="2" count="3">
            <x v="1"/>
            <x v="2"/>
            <x v="3"/>
          </reference>
          <reference field="21" count="1" selected="0">
            <x v="1"/>
          </reference>
          <reference field="22" count="1" selected="0">
            <x v="2"/>
          </reference>
        </references>
      </pivotArea>
    </format>
    <format dxfId="1273">
      <pivotArea dataOnly="0" labelOnly="1" fieldPosition="0">
        <references count="1">
          <reference field="1" count="5">
            <x v="0"/>
            <x v="1"/>
            <x v="2"/>
            <x v="3"/>
            <x v="5"/>
          </reference>
        </references>
      </pivotArea>
    </format>
    <format dxfId="1272">
      <pivotArea dataOnly="0" labelOnly="1" grandCol="1" outline="0" fieldPosition="0"/>
    </format>
    <format dxfId="1271">
      <pivotArea type="all" dataOnly="0" outline="0" fieldPosition="0"/>
    </format>
    <format dxfId="1270">
      <pivotArea outline="0" collapsedLevelsAreSubtotals="1" fieldPosition="0"/>
    </format>
    <format dxfId="1269">
      <pivotArea type="origin" dataOnly="0" labelOnly="1" outline="0" fieldPosition="0"/>
    </format>
    <format dxfId="1268">
      <pivotArea field="1" type="button" dataOnly="0" labelOnly="1" outline="0" axis="axisCol" fieldPosition="0"/>
    </format>
    <format dxfId="1267">
      <pivotArea type="topRight" dataOnly="0" labelOnly="1" outline="0" fieldPosition="0"/>
    </format>
    <format dxfId="1266">
      <pivotArea field="22" type="button" dataOnly="0" labelOnly="1" outline="0" axis="axisRow" fieldPosition="0"/>
    </format>
    <format dxfId="1265">
      <pivotArea dataOnly="0" labelOnly="1" fieldPosition="0">
        <references count="1">
          <reference field="22" count="2">
            <x v="1"/>
            <x v="2"/>
          </reference>
        </references>
      </pivotArea>
    </format>
    <format dxfId="1264">
      <pivotArea dataOnly="0" labelOnly="1" grandRow="1" outline="0" fieldPosition="0"/>
    </format>
    <format dxfId="1263">
      <pivotArea dataOnly="0" labelOnly="1" fieldPosition="0">
        <references count="2">
          <reference field="21" count="4">
            <x v="1"/>
            <x v="2"/>
            <x v="3"/>
            <x v="4"/>
          </reference>
          <reference field="22" count="1" selected="0">
            <x v="1"/>
          </reference>
        </references>
      </pivotArea>
    </format>
    <format dxfId="1262">
      <pivotArea dataOnly="0" labelOnly="1" fieldPosition="0">
        <references count="2">
          <reference field="21" count="3">
            <x v="1"/>
            <x v="2"/>
            <x v="3"/>
          </reference>
          <reference field="22" count="1" selected="0">
            <x v="2"/>
          </reference>
        </references>
      </pivotArea>
    </format>
    <format dxfId="1261">
      <pivotArea dataOnly="0" labelOnly="1" fieldPosition="0">
        <references count="3">
          <reference field="2" count="3">
            <x v="1"/>
            <x v="2"/>
            <x v="3"/>
          </reference>
          <reference field="21" count="1" selected="0">
            <x v="1"/>
          </reference>
          <reference field="22" count="1" selected="0">
            <x v="1"/>
          </reference>
        </references>
      </pivotArea>
    </format>
    <format dxfId="1260">
      <pivotArea dataOnly="0" labelOnly="1" fieldPosition="0">
        <references count="3">
          <reference field="2" count="3">
            <x v="4"/>
            <x v="5"/>
            <x v="6"/>
          </reference>
          <reference field="21" count="1" selected="0">
            <x v="2"/>
          </reference>
          <reference field="22" count="1" selected="0">
            <x v="1"/>
          </reference>
        </references>
      </pivotArea>
    </format>
    <format dxfId="1259">
      <pivotArea dataOnly="0" labelOnly="1" fieldPosition="0">
        <references count="3">
          <reference field="2" count="3">
            <x v="7"/>
            <x v="8"/>
            <x v="9"/>
          </reference>
          <reference field="21" count="1" selected="0">
            <x v="3"/>
          </reference>
          <reference field="22" count="1" selected="0">
            <x v="1"/>
          </reference>
        </references>
      </pivotArea>
    </format>
    <format dxfId="1258">
      <pivotArea dataOnly="0" labelOnly="1" fieldPosition="0">
        <references count="3">
          <reference field="2" count="3">
            <x v="10"/>
            <x v="11"/>
            <x v="12"/>
          </reference>
          <reference field="21" count="1" selected="0">
            <x v="4"/>
          </reference>
          <reference field="22" count="1" selected="0">
            <x v="1"/>
          </reference>
        </references>
      </pivotArea>
    </format>
    <format dxfId="1257">
      <pivotArea dataOnly="0" labelOnly="1" fieldPosition="0">
        <references count="3">
          <reference field="2" count="3">
            <x v="1"/>
            <x v="2"/>
            <x v="3"/>
          </reference>
          <reference field="21" count="1" selected="0">
            <x v="1"/>
          </reference>
          <reference field="22" count="1" selected="0">
            <x v="2"/>
          </reference>
        </references>
      </pivotArea>
    </format>
    <format dxfId="1256">
      <pivotArea dataOnly="0" labelOnly="1" fieldPosition="0">
        <references count="3">
          <reference field="2" count="3">
            <x v="4"/>
            <x v="5"/>
            <x v="6"/>
          </reference>
          <reference field="21" count="1" selected="0">
            <x v="2"/>
          </reference>
          <reference field="22" count="1" selected="0">
            <x v="2"/>
          </reference>
        </references>
      </pivotArea>
    </format>
    <format dxfId="1255">
      <pivotArea dataOnly="0" labelOnly="1" fieldPosition="0">
        <references count="3">
          <reference field="2" count="2">
            <x v="7"/>
            <x v="8"/>
          </reference>
          <reference field="21" count="1" selected="0">
            <x v="3"/>
          </reference>
          <reference field="22" count="1" selected="0">
            <x v="2"/>
          </reference>
        </references>
      </pivotArea>
    </format>
    <format dxfId="1254">
      <pivotArea dataOnly="0" labelOnly="1" fieldPosition="0">
        <references count="1">
          <reference field="1" count="0"/>
        </references>
      </pivotArea>
    </format>
    <format dxfId="1253">
      <pivotArea dataOnly="0" labelOnly="1" grandCol="1" outline="0" fieldPosition="0"/>
    </format>
  </formats>
  <chartFormats count="6"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2D33A2-FB19-4724-8AE8-5BE79C95365C}" name="Descontos" displayName="Descontos" ref="A3:I179" headerRowDxfId="667" dataDxfId="665" headerRowBorderDxfId="666">
  <sortState ref="A4:I164">
    <sortCondition ref="B3:B164"/>
  </sortState>
  <tableColumns count="9">
    <tableColumn id="3" xr3:uid="{94DF89E3-1FBC-4D1D-8810-F18E35D5C4C9}" name="Promoção" totalsRowLabel="Total" dataDxfId="664" totalsRowDxfId="663">
      <calculatedColumnFormula>IF(E4="","",IF(E4&gt;TODAY(),"Programado",IF(F4=TODAY()+1,"Expira amanhã",IF(F4=TODAY()+2,"Quase expirando",IF(F4=TODAY(),"Expira hoje",IF(F4&lt;=TODAY()-1,"Expirado","Ativado"))))))</calculatedColumnFormula>
    </tableColumn>
    <tableColumn id="9" xr3:uid="{D72FA12B-820C-4F0D-BDC3-12C59177A3E5}" name="Anúncio" dataDxfId="662" totalsRowDxfId="661"/>
    <tableColumn id="1" xr3:uid="{5AF21105-486F-418F-A0C2-410D34E69E30}" name="Cód. do Produto" dataDxfId="660" totalsRowDxfId="659"/>
    <tableColumn id="2" xr3:uid="{1D429294-120B-4AF4-8305-783D732514CD}" name="Nome" dataDxfId="658" totalsRowDxfId="657"/>
    <tableColumn id="4" xr3:uid="{3EF3F42B-266E-442E-BF97-B7C364FBB027}" name="Data Início" dataDxfId="656" totalsRowDxfId="655"/>
    <tableColumn id="5" xr3:uid="{0AC6469A-F497-4950-AA61-4C550F18C9EA}" name="Data Fim" dataDxfId="654" totalsRowDxfId="653"/>
    <tableColumn id="7" xr3:uid="{D63A6B32-4DF8-4CB1-8556-9AB8C3CC2B9C}" name="Preço" dataDxfId="652" totalsRowDxfId="651">
      <calculatedColumnFormula>'Precificação de produto'!F70</calculatedColumnFormula>
    </tableColumn>
    <tableColumn id="6" xr3:uid="{A6303EFF-416C-4E63-AF6A-E188F87F919C}" name="Desconto" dataDxfId="650">
      <calculatedColumnFormula>HYPERLINK("#'Precificação de produto'!J" &amp; ROW(), INDIRECT("'Precificação de produto'!J" &amp; ROW()))</calculatedColumnFormula>
    </tableColumn>
    <tableColumn id="8" xr3:uid="{D8FA90D9-A626-4D6E-907C-76FCD6B855CC}" name="Preço Final" totalsRowFunction="count" dataDxfId="649" totalsRowDxfId="648">
      <calculatedColumnFormula>Precificação[[#This Row],[Preço anunciado]]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49398C-ED0A-4578-982B-2BAA9BEEFEB3}" name="Precificação" displayName="Precificação" ref="A3:M179" headerRowDxfId="127" dataDxfId="125" headerRowBorderDxfId="126">
  <sortState ref="A4:L179">
    <sortCondition ref="B3:B179"/>
  </sortState>
  <tableColumns count="13">
    <tableColumn id="1" xr3:uid="{F9D6DDAB-D4FD-4F1C-85F5-019ABC82BF61}" name="Anúncio" dataDxfId="124" totalsRowDxfId="123" dataCellStyle="Hiperlink"/>
    <tableColumn id="4" xr3:uid="{D7444FB1-E7E4-4720-932B-6164D5610AB1}" name="Status" dataDxfId="122" totalsRowDxfId="121"/>
    <tableColumn id="3" xr3:uid="{46F46B4F-9C23-45C8-9DF7-6DBA2E409373}" name="Cód. do Produto" dataDxfId="120" totalsRowDxfId="119" dataCellStyle="Hiperlink"/>
    <tableColumn id="13" xr3:uid="{C27ADF74-0092-4EF3-A233-546E7A655843}" name="SKU" dataDxfId="118" totalsRowDxfId="117"/>
    <tableColumn id="2" xr3:uid="{B24C379D-45D3-4AFE-8E29-77F534922493}" name="Nome" dataDxfId="116"/>
    <tableColumn id="7" xr3:uid="{8FB8E1D5-6EA1-44B8-A614-25B1BBCB3925}" name="Valor" dataDxfId="115" totalsRowDxfId="114"/>
    <tableColumn id="9" xr3:uid="{C026F000-B70E-470F-9608-2932300C5C0A}" name="Frete" dataDxfId="113" totalsRowDxfId="112"/>
    <tableColumn id="10" xr3:uid="{FC3F715E-279A-4F72-82DE-9A21EE646BCD}" name="Tarifa" dataDxfId="111" totalsRowDxfId="110"/>
    <tableColumn id="12" xr3:uid="{4C19201B-5E20-4734-A265-F9C9D6B6B342}" name="Custo Fixo" dataDxfId="109">
      <calculatedColumnFormula>IF(G4&lt;&gt;"", "R$ 0,00",
IF(K4&lt;=12.5, INT((K4/2)/0.02)*0.02,
IF(K4&lt;29, 6.25,
IF(K4&lt;50, 6.5,
IF(K4&lt;=79, 6.75,
0)))))</calculatedColumnFormula>
    </tableColumn>
    <tableColumn id="11" xr3:uid="{B73AE115-8BAA-4E3E-8C82-A92D03633BE3}" name="Desconto" dataDxfId="108" dataCellStyle="Porcentagem"/>
    <tableColumn id="8" xr3:uid="{B3A9C5D1-0878-4751-A7AE-D934A867B9AE}" name="Preço anunciado" dataDxfId="107" totalsRowDxfId="106"/>
    <tableColumn id="5" xr3:uid="{A262D32D-2E94-46A3-B74D-83A7DC93872F}" name="Líquido a receber" dataDxfId="105" totalsRowDxfId="104"/>
    <tableColumn id="14" xr3:uid="{EE1687A0-EA3C-4527-9F0F-40FA1F10DB77}" name="Qtd. Vendidos" dataDxfId="103" totalsRowDxfId="102" dataCellStyle="Porcentagem">
      <calculatedColumnFormula>SUMIFS(Vendas[Qtd], Vendas[Cód. do Produto], Precificação[[#This Row],[Cód. do Produto]], Vendas[Status], "Entregue") &amp; " unidade(s) vendida(s)"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D558B8-DFE4-4E28-8CF2-7BD434E19A28}" name="Vendas" displayName="Vendas" ref="A2:U186" headerRowDxfId="29" dataDxfId="28" totalsRowDxfId="27">
  <autoFilter ref="A2:U186" xr:uid="{F4A5BE48-7857-41EF-B72C-F0D1E4B2C118}"/>
  <sortState ref="A3:T186">
    <sortCondition descending="1" ref="C2:C186"/>
  </sortState>
  <tableColumns count="21">
    <tableColumn id="4" xr3:uid="{A96C0D45-5CC8-47F3-9FB3-944A1E925227}" name="Nº Venda" dataDxfId="26" totalsRowDxfId="25"/>
    <tableColumn id="1" xr3:uid="{1E47A832-9C74-4B2C-BC85-46F618F6B7D9}" name="Status" dataDxfId="24" totalsRowDxfId="23" dataCellStyle="Hiperlink"/>
    <tableColumn id="6" xr3:uid="{3D3A5A96-C899-4199-A4DA-B7DE08D48226}" name="Data da Compra" dataDxfId="22" totalsRowDxfId="21"/>
    <tableColumn id="2" xr3:uid="{7EC83C59-8586-48B2-82B0-3852C13B433A}" name="Nome do Produto" dataDxfId="20"/>
    <tableColumn id="21" xr3:uid="{9C313298-340C-440C-B7B3-99D18E06D193}" name="Cód. do Produto" dataDxfId="19"/>
    <tableColumn id="14" xr3:uid="{6677CB2E-42F4-47C2-AA1A-D7DF08D3B75F}" name="Qtd" dataDxfId="18"/>
    <tableColumn id="8" xr3:uid="{195C771F-C3AE-4216-85A8-D929A34F5169}" name="Preço unidade" dataDxfId="17" totalsRowDxfId="16"/>
    <tableColumn id="7" xr3:uid="{D1DBBBF4-CCC3-4C11-BD8F-87A5BCAC53FD}" name="A receber" dataDxfId="15" totalsRowDxfId="14"/>
    <tableColumn id="5" xr3:uid="{233D7D85-053B-4DB1-973C-498FE401FA00}" name="Observação" dataDxfId="13" dataCellStyle="Porcentagem"/>
    <tableColumn id="3" xr3:uid="{7D42864B-7ECE-461D-A8C1-92C39489677E}" name="Nome/Razão Social" dataDxfId="12" dataCellStyle="Porcentagem"/>
    <tableColumn id="19" xr3:uid="{9F04153F-D8A2-4529-9AE4-35726F3743EC}" name="CPF/CNPJ" dataDxfId="11"/>
    <tableColumn id="18" xr3:uid="{72147669-F0A5-4B36-87AC-208A74A5F4B9}" name="CEP" dataDxfId="10" dataCellStyle="Porcentagem"/>
    <tableColumn id="17" xr3:uid="{7658A941-BD13-4474-87CB-65F1A5BC833F}" name="Endereço completo" dataDxfId="9" dataCellStyle="Porcentagem"/>
    <tableColumn id="15" xr3:uid="{5254BE23-299D-436E-BFE9-84C66FDB1138}" name="Bairro/Distrito" dataDxfId="8"/>
    <tableColumn id="13" xr3:uid="{436DA28C-29BA-4345-A8C3-F16C5BD24A2F}" name="Município" dataDxfId="7"/>
    <tableColumn id="11" xr3:uid="{A9542DFC-BEAC-4696-A6E0-FFCE44F60A91}" name="UF" dataDxfId="6" dataCellStyle="Porcentagem"/>
    <tableColumn id="9" xr3:uid="{3D333B8C-5AA4-4BA1-9599-95544CE2EFBC}" name="Transportadora" dataDxfId="5" dataCellStyle="Porcentagem"/>
    <tableColumn id="16" xr3:uid="{091533E6-C13A-4A2D-80ED-B042069779FB}" name="Código de Rastreio" dataDxfId="4" dataCellStyle="Porcentagem"/>
    <tableColumn id="20" xr3:uid="{67196371-0310-4DC6-BC8A-1161CB03FE39}" name="Data da Entrega" dataDxfId="3" dataCellStyle="Porcentagem"/>
    <tableColumn id="12" xr3:uid="{9F362550-D893-4135-927F-26A13BE18914}" name="Nota Fiscal" dataDxfId="2"/>
    <tableColumn id="10" xr3:uid="{7EABC3D2-BF2B-4353-83F0-85112642880A}" name="Garantia" dataDxfId="1" totalsRowDxfId="0">
      <calculatedColumnFormula>IF(S3="", "", IF(TODAY() &lt;= DATE(YEAR(S3), MONTH(S3)+3, DAY(S3)), "Em garantia", "Fora da garantia"))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4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ercadolivre.com.br/anuncios/lista/promos?page=1&amp;search=5371975268" TargetMode="External"/><Relationship Id="rId21" Type="http://schemas.openxmlformats.org/officeDocument/2006/relationships/hyperlink" Target="https://www.mercadolivre.com.br/anuncios/lista/promos?page=1&amp;search=4582230258" TargetMode="External"/><Relationship Id="rId42" Type="http://schemas.openxmlformats.org/officeDocument/2006/relationships/hyperlink" Target="https://www.mercadolivre.com.br/anuncios/lista/promos?page=1&amp;search=5095183610" TargetMode="External"/><Relationship Id="rId63" Type="http://schemas.openxmlformats.org/officeDocument/2006/relationships/hyperlink" Target="https://www.mercadolivre.com.br/anuncios/lista/promos?page=1&amp;search=3348551743" TargetMode="External"/><Relationship Id="rId84" Type="http://schemas.openxmlformats.org/officeDocument/2006/relationships/hyperlink" Target="https://www.mercadolivre.com.br/anuncios/lista/promos?page=1&amp;search=4007067801" TargetMode="External"/><Relationship Id="rId138" Type="http://schemas.openxmlformats.org/officeDocument/2006/relationships/hyperlink" Target="https://www.mercadolivre.com.br/anuncios/lista/promos?page=1&amp;search=4276017707" TargetMode="External"/><Relationship Id="rId159" Type="http://schemas.openxmlformats.org/officeDocument/2006/relationships/hyperlink" Target="https://www.mercadolivre.com.br/anuncios/lista/promos?page=1&amp;search=5929321990" TargetMode="External"/><Relationship Id="rId170" Type="http://schemas.openxmlformats.org/officeDocument/2006/relationships/hyperlink" Target="https://www.mercadolivre.com.br/anuncios/lista/promos?page=1&amp;search=4980384522" TargetMode="External"/><Relationship Id="rId107" Type="http://schemas.openxmlformats.org/officeDocument/2006/relationships/hyperlink" Target="https://www.mercadolivre.com.br/anuncios/lista/promos?page=1&amp;search=5166642700" TargetMode="External"/><Relationship Id="rId11" Type="http://schemas.openxmlformats.org/officeDocument/2006/relationships/hyperlink" Target="https://www.mercadolivre.com.br/anuncios/lista/promos?page=1&amp;search=5042079580" TargetMode="External"/><Relationship Id="rId32" Type="http://schemas.openxmlformats.org/officeDocument/2006/relationships/hyperlink" Target="https://www.mercadolivre.com.br/anuncios/lista/promos?page=1&amp;search=3842165551" TargetMode="External"/><Relationship Id="rId53" Type="http://schemas.openxmlformats.org/officeDocument/2006/relationships/hyperlink" Target="https://www.mercadolivre.com.br/anuncios/lista/promos?page=1&amp;search=3714128911" TargetMode="External"/><Relationship Id="rId74" Type="http://schemas.openxmlformats.org/officeDocument/2006/relationships/hyperlink" Target="https://www.mercadolivre.com.br/anuncios/lista/promos?page=1&amp;search=3793372071" TargetMode="External"/><Relationship Id="rId128" Type="http://schemas.openxmlformats.org/officeDocument/2006/relationships/hyperlink" Target="https://www.mercadolivre.com.br/anuncios/lista/promos?page=1&amp;search=5798446202" TargetMode="External"/><Relationship Id="rId149" Type="http://schemas.openxmlformats.org/officeDocument/2006/relationships/hyperlink" Target="https://www.mercadolivre.com.br/anuncios/lista/promos?page=1&amp;search=5929424098" TargetMode="External"/><Relationship Id="rId5" Type="http://schemas.openxmlformats.org/officeDocument/2006/relationships/hyperlink" Target="https://www.mercadolivre.com.br/anuncios/lista/promos?page=1&amp;search=5475689610" TargetMode="External"/><Relationship Id="rId95" Type="http://schemas.openxmlformats.org/officeDocument/2006/relationships/hyperlink" Target="https://www.mercadolivre.com.br/anuncios/lista/promos?page=1&amp;search=4498855500" TargetMode="External"/><Relationship Id="rId160" Type="http://schemas.openxmlformats.org/officeDocument/2006/relationships/hyperlink" Target="https://www.mercadolivre.com.br/anuncios/lista/promos?page=1&amp;search=5929270230" TargetMode="External"/><Relationship Id="rId181" Type="http://schemas.openxmlformats.org/officeDocument/2006/relationships/ctrlProp" Target="../ctrlProps/ctrlProp5.xml"/><Relationship Id="rId22" Type="http://schemas.openxmlformats.org/officeDocument/2006/relationships/hyperlink" Target="https://www.mercadolivre.com.br/anuncios/lista/promos?page=1&amp;search=3678486959" TargetMode="External"/><Relationship Id="rId43" Type="http://schemas.openxmlformats.org/officeDocument/2006/relationships/hyperlink" Target="https://www.mercadolivre.com.br/anuncios/lista/promos?page=1&amp;search=5214366924" TargetMode="External"/><Relationship Id="rId64" Type="http://schemas.openxmlformats.org/officeDocument/2006/relationships/hyperlink" Target="https://www.mercadolivre.com.br/anuncios/lista/promos?page=1&amp;search=3461036295" TargetMode="External"/><Relationship Id="rId118" Type="http://schemas.openxmlformats.org/officeDocument/2006/relationships/hyperlink" Target="https://www.mercadolivre.com.br/anuncios/lista/promos?page=1&amp;search=4147135099" TargetMode="External"/><Relationship Id="rId139" Type="http://schemas.openxmlformats.org/officeDocument/2006/relationships/hyperlink" Target="https://www.mercadolivre.com.br/anuncios/lista/promos?page=1&amp;search=4288523467" TargetMode="External"/><Relationship Id="rId85" Type="http://schemas.openxmlformats.org/officeDocument/2006/relationships/hyperlink" Target="https://www.mercadolivre.com.br/anuncios/lista/promos?page=1&amp;search=5045755448" TargetMode="External"/><Relationship Id="rId150" Type="http://schemas.openxmlformats.org/officeDocument/2006/relationships/hyperlink" Target="https://www.mercadolivre.com.br/anuncios/lista/promos?page=1&amp;search=4301819285" TargetMode="External"/><Relationship Id="rId171" Type="http://schemas.openxmlformats.org/officeDocument/2006/relationships/hyperlink" Target="https://www.mercadolivre.com.br/anuncios/lista/promos?page=1&amp;search=4411104817" TargetMode="External"/><Relationship Id="rId12" Type="http://schemas.openxmlformats.org/officeDocument/2006/relationships/hyperlink" Target="https://www.mercadolivre.com.br/anuncios/lista/promos?page=1&amp;search=4477462426" TargetMode="External"/><Relationship Id="rId33" Type="http://schemas.openxmlformats.org/officeDocument/2006/relationships/hyperlink" Target="https://www.mercadolivre.com.br/anuncios/lista/promos?page=1&amp;search=3797951938" TargetMode="External"/><Relationship Id="rId108" Type="http://schemas.openxmlformats.org/officeDocument/2006/relationships/hyperlink" Target="https://www.mercadolivre.com.br/anuncios/lista/promos?page=1&amp;search=5166642696" TargetMode="External"/><Relationship Id="rId129" Type="http://schemas.openxmlformats.org/officeDocument/2006/relationships/hyperlink" Target="https://www.mercadolivre.com.br/anuncios/lista/promos?page=1&amp;search=5800799064" TargetMode="External"/><Relationship Id="rId54" Type="http://schemas.openxmlformats.org/officeDocument/2006/relationships/hyperlink" Target="https://www.mercadolivre.com.br/anuncios/lista/promos?page=1&amp;search=5082694220" TargetMode="External"/><Relationship Id="rId75" Type="http://schemas.openxmlformats.org/officeDocument/2006/relationships/hyperlink" Target="https://www.mercadolivre.com.br/anuncios/lista/promos?page=1&amp;search=3810548977" TargetMode="External"/><Relationship Id="rId96" Type="http://schemas.openxmlformats.org/officeDocument/2006/relationships/hyperlink" Target="https://www.mercadolivre.com.br/anuncios/lista/promos?page=1&amp;search=3810973422" TargetMode="External"/><Relationship Id="rId140" Type="http://schemas.openxmlformats.org/officeDocument/2006/relationships/hyperlink" Target="https://www.mercadolivre.com.br/anuncios/lista/promos?page=1&amp;search=5387973438" TargetMode="External"/><Relationship Id="rId161" Type="http://schemas.openxmlformats.org/officeDocument/2006/relationships/hyperlink" Target="https://www.mercadolivre.com.br/anuncios/lista/promos?page=1&amp;search=5929373112" TargetMode="External"/><Relationship Id="rId182" Type="http://schemas.openxmlformats.org/officeDocument/2006/relationships/table" Target="../tables/table1.xml"/><Relationship Id="rId6" Type="http://schemas.openxmlformats.org/officeDocument/2006/relationships/hyperlink" Target="https://www.mercadolivre.com.br/anuncios/lista/promos?page=1&amp;search=5295536766" TargetMode="External"/><Relationship Id="rId23" Type="http://schemas.openxmlformats.org/officeDocument/2006/relationships/hyperlink" Target="https://www.mercadolivre.com.br/anuncios/lista/promos?page=1&amp;search=3689463233" TargetMode="External"/><Relationship Id="rId119" Type="http://schemas.openxmlformats.org/officeDocument/2006/relationships/hyperlink" Target="https://www.mercadolivre.com.br/anuncios/lista/promos?page=1&amp;search=5702208942" TargetMode="External"/><Relationship Id="rId44" Type="http://schemas.openxmlformats.org/officeDocument/2006/relationships/hyperlink" Target="https://www.mercadolivre.com.br/anuncios/lista/promos?page=1&amp;search=5166668370" TargetMode="External"/><Relationship Id="rId60" Type="http://schemas.openxmlformats.org/officeDocument/2006/relationships/hyperlink" Target="https://www.mercadolivre.com.br/anuncios/lista/promos?page=1&amp;search=3374596069" TargetMode="External"/><Relationship Id="rId65" Type="http://schemas.openxmlformats.org/officeDocument/2006/relationships/hyperlink" Target="https://www.mercadolivre.com.br/anuncios/lista/promos?page=1&amp;search=5099370216" TargetMode="External"/><Relationship Id="rId81" Type="http://schemas.openxmlformats.org/officeDocument/2006/relationships/hyperlink" Target="https://www.mercadolivre.com.br/anuncios/lista/promos?page=1&amp;search=5301960562" TargetMode="External"/><Relationship Id="rId86" Type="http://schemas.openxmlformats.org/officeDocument/2006/relationships/hyperlink" Target="https://www.mercadolivre.com.br/anuncios/lista/promos?page=1&amp;search=4011697869" TargetMode="External"/><Relationship Id="rId130" Type="http://schemas.openxmlformats.org/officeDocument/2006/relationships/hyperlink" Target="https://www.mercadolivre.com.br/anuncios/lista/promos?page=1&amp;search=4256435963" TargetMode="External"/><Relationship Id="rId135" Type="http://schemas.openxmlformats.org/officeDocument/2006/relationships/hyperlink" Target="https://www.mercadolivre.com.br/anuncios/lista/promos?page=1&amp;search=5845777508" TargetMode="External"/><Relationship Id="rId151" Type="http://schemas.openxmlformats.org/officeDocument/2006/relationships/hyperlink" Target="https://www.mercadolivre.com.br/anuncios/lista/promos?page=1&amp;search=5928910532" TargetMode="External"/><Relationship Id="rId156" Type="http://schemas.openxmlformats.org/officeDocument/2006/relationships/hyperlink" Target="https://www.mercadolivre.com.br/anuncios/lista/promos?page=1&amp;search=5929347570" TargetMode="External"/><Relationship Id="rId177" Type="http://schemas.openxmlformats.org/officeDocument/2006/relationships/printerSettings" Target="../printerSettings/printerSettings2.bin"/><Relationship Id="rId172" Type="http://schemas.openxmlformats.org/officeDocument/2006/relationships/hyperlink" Target="https://www.mercadolivre.com.br/anuncios/lista/promos?page=1&amp;search=6163558918" TargetMode="External"/><Relationship Id="rId13" Type="http://schemas.openxmlformats.org/officeDocument/2006/relationships/hyperlink" Target="https://www.mercadolivre.com.br/anuncios/lista/promos?page=1&amp;search=4959073826" TargetMode="External"/><Relationship Id="rId18" Type="http://schemas.openxmlformats.org/officeDocument/2006/relationships/hyperlink" Target="https://www.mercadolivre.com.br/anuncios/lista/promos?page=1&amp;search=3448189439" TargetMode="External"/><Relationship Id="rId39" Type="http://schemas.openxmlformats.org/officeDocument/2006/relationships/hyperlink" Target="https://www.mercadolivre.com.br/anuncios/lista/promos?page=1&amp;search=4595808644" TargetMode="External"/><Relationship Id="rId109" Type="http://schemas.openxmlformats.org/officeDocument/2006/relationships/hyperlink" Target="https://www.mercadolivre.com.br/anuncios/lista/promos?page=1&amp;search=5166642702" TargetMode="External"/><Relationship Id="rId34" Type="http://schemas.openxmlformats.org/officeDocument/2006/relationships/hyperlink" Target="https://www.mercadolivre.com.br/anuncios/lista/promos?page=1&amp;search=3729364675" TargetMode="External"/><Relationship Id="rId50" Type="http://schemas.openxmlformats.org/officeDocument/2006/relationships/hyperlink" Target="https://www.mercadolivre.com.br/anuncios/lista/promos?page=1&amp;search=3717000035" TargetMode="External"/><Relationship Id="rId55" Type="http://schemas.openxmlformats.org/officeDocument/2006/relationships/hyperlink" Target="https://www.mercadolivre.com.br/anuncios/lista/promos?page=1&amp;search=4764002380" TargetMode="External"/><Relationship Id="rId76" Type="http://schemas.openxmlformats.org/officeDocument/2006/relationships/hyperlink" Target="https://www.mercadolivre.com.br/anuncios/lista/promos?page=1&amp;search=3810560993" TargetMode="External"/><Relationship Id="rId97" Type="http://schemas.openxmlformats.org/officeDocument/2006/relationships/hyperlink" Target="https://www.mercadolivre.com.br/anuncios/lista/promos?page=1&amp;search=4530820636" TargetMode="External"/><Relationship Id="rId104" Type="http://schemas.openxmlformats.org/officeDocument/2006/relationships/hyperlink" Target="https://www.mercadolivre.com.br/anuncios/lista/promos?page=1&amp;search=3380556387" TargetMode="External"/><Relationship Id="rId120" Type="http://schemas.openxmlformats.org/officeDocument/2006/relationships/hyperlink" Target="https://www.mercadolivre.com.br/anuncios/lista/promos?page=1&amp;search=4179556159" TargetMode="External"/><Relationship Id="rId125" Type="http://schemas.openxmlformats.org/officeDocument/2006/relationships/hyperlink" Target="https://www.mercadolivre.com.br/anuncios/lista/promos?page=1&amp;search=4249882811" TargetMode="External"/><Relationship Id="rId141" Type="http://schemas.openxmlformats.org/officeDocument/2006/relationships/hyperlink" Target="https://www.mercadolivre.com.br/anuncios/lista/promos?page=1&amp;search=5442378912" TargetMode="External"/><Relationship Id="rId146" Type="http://schemas.openxmlformats.org/officeDocument/2006/relationships/hyperlink" Target="https://www.mercadolivre.com.br/anuncios/lista/promos?page=1&amp;search=5928675358" TargetMode="External"/><Relationship Id="rId167" Type="http://schemas.openxmlformats.org/officeDocument/2006/relationships/hyperlink" Target="https://www.mercadolivre.com.br/anuncios/lista/promos?page=1&amp;search=5929270232" TargetMode="External"/><Relationship Id="rId7" Type="http://schemas.openxmlformats.org/officeDocument/2006/relationships/hyperlink" Target="https://www.mercadolivre.com.br/anuncios/lista/promos?page=1&amp;search=5387973438" TargetMode="External"/><Relationship Id="rId71" Type="http://schemas.openxmlformats.org/officeDocument/2006/relationships/hyperlink" Target="https://www.mercadolivre.com.br/anuncios/lista/promos?page=1&amp;search=3810102663" TargetMode="External"/><Relationship Id="rId92" Type="http://schemas.openxmlformats.org/officeDocument/2006/relationships/hyperlink" Target="https://www.mercadolivre.com.br/anuncios/lista/promos?page=1&amp;search=3617889069" TargetMode="External"/><Relationship Id="rId162" Type="http://schemas.openxmlformats.org/officeDocument/2006/relationships/hyperlink" Target="https://www.mercadolivre.com.br/anuncios/lista/promos?page=1&amp;search=4301819283" TargetMode="External"/><Relationship Id="rId183" Type="http://schemas.openxmlformats.org/officeDocument/2006/relationships/comments" Target="../comments1.xml"/><Relationship Id="rId2" Type="http://schemas.openxmlformats.org/officeDocument/2006/relationships/hyperlink" Target="https://www.mercadolivre.com.br/anuncios/lista/promos?page=1&amp;search=5489116676" TargetMode="External"/><Relationship Id="rId29" Type="http://schemas.openxmlformats.org/officeDocument/2006/relationships/hyperlink" Target="https://www.mercadolivre.com.br/anuncios/lista/promos?page=1&amp;search=3348584485" TargetMode="External"/><Relationship Id="rId24" Type="http://schemas.openxmlformats.org/officeDocument/2006/relationships/hyperlink" Target="https://www.mercadolivre.com.br/anuncios/lista/promos?page=1&amp;search=3689361937" TargetMode="External"/><Relationship Id="rId40" Type="http://schemas.openxmlformats.org/officeDocument/2006/relationships/hyperlink" Target="https://www.mercadolivre.com.br/anuncios/lista/promos?page=1&amp;search=4595796218" TargetMode="External"/><Relationship Id="rId45" Type="http://schemas.openxmlformats.org/officeDocument/2006/relationships/hyperlink" Target="https://www.mercadolivre.com.br/anuncios/lista/promos?page=1&amp;search=3920869323" TargetMode="External"/><Relationship Id="rId66" Type="http://schemas.openxmlformats.org/officeDocument/2006/relationships/hyperlink" Target="https://www.mercadolivre.com.br/anuncios/lista/promos?page=1&amp;search=4477807312" TargetMode="External"/><Relationship Id="rId87" Type="http://schemas.openxmlformats.org/officeDocument/2006/relationships/hyperlink" Target="https://www.mercadolivre.com.br/anuncios/lista/promos?page=1&amp;search=4032310365" TargetMode="External"/><Relationship Id="rId110" Type="http://schemas.openxmlformats.org/officeDocument/2006/relationships/hyperlink" Target="https://www.mercadolivre.com.br/anuncios/lista/promos?page=1&amp;search=5166642698" TargetMode="External"/><Relationship Id="rId115" Type="http://schemas.openxmlformats.org/officeDocument/2006/relationships/hyperlink" Target="https://www.mercadolivre.com.br/anuncios/lista/promos?page=1&amp;search=3792536284" TargetMode="External"/><Relationship Id="rId131" Type="http://schemas.openxmlformats.org/officeDocument/2006/relationships/hyperlink" Target="https://www.mercadolivre.com.br/anuncios/lista/promos?page=1&amp;search=5812967844" TargetMode="External"/><Relationship Id="rId136" Type="http://schemas.openxmlformats.org/officeDocument/2006/relationships/hyperlink" Target="https://www.mercadolivre.com.br/anuncios/lista/promos?page=1&amp;search=4271786349" TargetMode="External"/><Relationship Id="rId157" Type="http://schemas.openxmlformats.org/officeDocument/2006/relationships/hyperlink" Target="https://www.mercadolivre.com.br/anuncios/lista/promos?page=1&amp;search=5929257340" TargetMode="External"/><Relationship Id="rId178" Type="http://schemas.openxmlformats.org/officeDocument/2006/relationships/drawing" Target="../drawings/drawing2.xml"/><Relationship Id="rId61" Type="http://schemas.openxmlformats.org/officeDocument/2006/relationships/hyperlink" Target="https://www.mercadolivre.com.br/anuncios/lista/promos?page=1&amp;search=5287714654" TargetMode="External"/><Relationship Id="rId82" Type="http://schemas.openxmlformats.org/officeDocument/2006/relationships/hyperlink" Target="https://www.mercadolivre.com.br/anuncios/lista/promos?page=1&amp;search=3989307807" TargetMode="External"/><Relationship Id="rId152" Type="http://schemas.openxmlformats.org/officeDocument/2006/relationships/hyperlink" Target="https://www.mercadolivre.com.br/anuncios/lista/promos?page=1&amp;search=5929347568" TargetMode="External"/><Relationship Id="rId173" Type="http://schemas.openxmlformats.org/officeDocument/2006/relationships/hyperlink" Target="https://www.mercadolivre.com.br/anuncios/lista/promos?page=1&amp;search=4445346663" TargetMode="External"/><Relationship Id="rId19" Type="http://schemas.openxmlformats.org/officeDocument/2006/relationships/hyperlink" Target="https://www.mercadolivre.com.br/anuncios/lista/promos?page=1&amp;search=3789964608" TargetMode="External"/><Relationship Id="rId14" Type="http://schemas.openxmlformats.org/officeDocument/2006/relationships/hyperlink" Target="https://www.mercadolivre.com.br/anuncios/lista/promos?page=1&amp;search=4561957876" TargetMode="External"/><Relationship Id="rId30" Type="http://schemas.openxmlformats.org/officeDocument/2006/relationships/hyperlink" Target="https://www.mercadolivre.com.br/anuncios/lista/promos?page=1&amp;search=3722549122" TargetMode="External"/><Relationship Id="rId35" Type="http://schemas.openxmlformats.org/officeDocument/2006/relationships/hyperlink" Target="https://www.mercadolivre.com.br/anuncios/lista/promos?page=1&amp;search=5070948140" TargetMode="External"/><Relationship Id="rId56" Type="http://schemas.openxmlformats.org/officeDocument/2006/relationships/hyperlink" Target="https://www.mercadolivre.com.br/anuncios/lista/promos?page=1&amp;search=3754185396" TargetMode="External"/><Relationship Id="rId77" Type="http://schemas.openxmlformats.org/officeDocument/2006/relationships/hyperlink" Target="https://www.mercadolivre.com.br/anuncios/lista/promos?page=1&amp;search=3807425245" TargetMode="External"/><Relationship Id="rId100" Type="http://schemas.openxmlformats.org/officeDocument/2006/relationships/hyperlink" Target="https://www.mercadolivre.com.br/anuncios/lista/promos?page=1&amp;search=4423764682" TargetMode="External"/><Relationship Id="rId105" Type="http://schemas.openxmlformats.org/officeDocument/2006/relationships/hyperlink" Target="https://www.mercadolivre.com.br/anuncios/lista/promos?page=1&amp;search=3360870643" TargetMode="External"/><Relationship Id="rId126" Type="http://schemas.openxmlformats.org/officeDocument/2006/relationships/hyperlink" Target="https://www.mercadolivre.com.br/anuncios/lista/promos?page=1&amp;search=4250176843" TargetMode="External"/><Relationship Id="rId147" Type="http://schemas.openxmlformats.org/officeDocument/2006/relationships/hyperlink" Target="https://www.mercadolivre.com.br/anuncios/lista/promos?page=1&amp;search=5929321988" TargetMode="External"/><Relationship Id="rId168" Type="http://schemas.openxmlformats.org/officeDocument/2006/relationships/hyperlink" Target="https://www.mercadolivre.com.br/anuncios/lista/promos?page=1&amp;search=5929218750" TargetMode="External"/><Relationship Id="rId8" Type="http://schemas.openxmlformats.org/officeDocument/2006/relationships/hyperlink" Target="https://www.mercadolivre.com.br/anuncios/lista/promos?page=1&amp;search=2708946936" TargetMode="External"/><Relationship Id="rId51" Type="http://schemas.openxmlformats.org/officeDocument/2006/relationships/hyperlink" Target="https://www.mercadolivre.com.br/anuncios/lista/promos?page=1&amp;search=3717205475" TargetMode="External"/><Relationship Id="rId72" Type="http://schemas.openxmlformats.org/officeDocument/2006/relationships/hyperlink" Target="https://www.mercadolivre.com.br/anuncios/lista/promos?page=1&amp;search=3793388171" TargetMode="External"/><Relationship Id="rId93" Type="http://schemas.openxmlformats.org/officeDocument/2006/relationships/hyperlink" Target="https://www.mercadolivre.com.br/anuncios/lista/promos?page=1&amp;search=3739003915" TargetMode="External"/><Relationship Id="rId98" Type="http://schemas.openxmlformats.org/officeDocument/2006/relationships/hyperlink" Target="https://www.mercadolivre.com.br/anuncios/lista/promos?page=1&amp;search=4667442936" TargetMode="External"/><Relationship Id="rId121" Type="http://schemas.openxmlformats.org/officeDocument/2006/relationships/hyperlink" Target="https://www.mercadolivre.com.br/anuncios/lista/promos?page=1&amp;search=5572470428" TargetMode="External"/><Relationship Id="rId142" Type="http://schemas.openxmlformats.org/officeDocument/2006/relationships/hyperlink" Target="https://www.mercadolivre.com.br/anuncios/lista/promos?page=1&amp;search=5928910534" TargetMode="External"/><Relationship Id="rId163" Type="http://schemas.openxmlformats.org/officeDocument/2006/relationships/hyperlink" Target="https://www.mercadolivre.com.br/anuncios/lista/promos?page=1&amp;search=5929334774" TargetMode="External"/><Relationship Id="rId3" Type="http://schemas.openxmlformats.org/officeDocument/2006/relationships/hyperlink" Target="https://www.mercadolivre.com.br/anuncios/lista/promos?page=1&amp;search=5507423434" TargetMode="External"/><Relationship Id="rId25" Type="http://schemas.openxmlformats.org/officeDocument/2006/relationships/hyperlink" Target="https://www.mercadolivre.com.br/anuncios/lista/promos?page=1&amp;search=5079229346" TargetMode="External"/><Relationship Id="rId46" Type="http://schemas.openxmlformats.org/officeDocument/2006/relationships/hyperlink" Target="https://www.mercadolivre.com.br/anuncios/lista/promos?page=1&amp;search=3622844781" TargetMode="External"/><Relationship Id="rId67" Type="http://schemas.openxmlformats.org/officeDocument/2006/relationships/hyperlink" Target="https://www.mercadolivre.com.br/anuncios/lista/promos?page=1&amp;search=3859451769" TargetMode="External"/><Relationship Id="rId116" Type="http://schemas.openxmlformats.org/officeDocument/2006/relationships/hyperlink" Target="https://www.mercadolivre.com.br/anuncios/lista/promos?page=1&amp;search=4763921658" TargetMode="External"/><Relationship Id="rId137" Type="http://schemas.openxmlformats.org/officeDocument/2006/relationships/hyperlink" Target="https://www.mercadolivre.com.br/anuncios/lista/promos?page=1&amp;search=5857390602" TargetMode="External"/><Relationship Id="rId158" Type="http://schemas.openxmlformats.org/officeDocument/2006/relationships/hyperlink" Target="https://www.mercadolivre.com.br/anuncios/lista/promos?page=1&amp;search=5929373114" TargetMode="External"/><Relationship Id="rId20" Type="http://schemas.openxmlformats.org/officeDocument/2006/relationships/hyperlink" Target="https://www.mercadolivre.com.br/anuncios/lista/promos?page=1&amp;search=3958851585" TargetMode="External"/><Relationship Id="rId41" Type="http://schemas.openxmlformats.org/officeDocument/2006/relationships/hyperlink" Target="https://www.mercadolivre.com.br/anuncios/lista/promos?page=1&amp;search=3729436287" TargetMode="External"/><Relationship Id="rId62" Type="http://schemas.openxmlformats.org/officeDocument/2006/relationships/hyperlink" Target="https://www.mercadolivre.com.br/anuncios/lista/promos?page=1&amp;search=4783780204" TargetMode="External"/><Relationship Id="rId83" Type="http://schemas.openxmlformats.org/officeDocument/2006/relationships/hyperlink" Target="https://www.mercadolivre.com.br/anuncios/lista/promos?page=1&amp;search=5308976398" TargetMode="External"/><Relationship Id="rId88" Type="http://schemas.openxmlformats.org/officeDocument/2006/relationships/hyperlink" Target="https://www.mercadolivre.com.br/anuncios/lista/promos?page=1&amp;search=5352352962" TargetMode="External"/><Relationship Id="rId111" Type="http://schemas.openxmlformats.org/officeDocument/2006/relationships/hyperlink" Target="https://www.mercadolivre.com.br/anuncios/lista/promos?page=1&amp;search=2033240940" TargetMode="External"/><Relationship Id="rId132" Type="http://schemas.openxmlformats.org/officeDocument/2006/relationships/hyperlink" Target="https://www.mercadolivre.com.br/anuncios/lista/promos?page=1&amp;search=4256586999" TargetMode="External"/><Relationship Id="rId153" Type="http://schemas.openxmlformats.org/officeDocument/2006/relationships/hyperlink" Target="https://www.mercadolivre.com.br/anuncios/lista/promos?page=1&amp;search=5929334772" TargetMode="External"/><Relationship Id="rId174" Type="http://schemas.openxmlformats.org/officeDocument/2006/relationships/hyperlink" Target="https://www.mercadolivre.com.br/anuncios/lista/promos?page=1&amp;search=4352836981" TargetMode="External"/><Relationship Id="rId179" Type="http://schemas.openxmlformats.org/officeDocument/2006/relationships/vmlDrawing" Target="../drawings/vmlDrawing2.vml"/><Relationship Id="rId15" Type="http://schemas.openxmlformats.org/officeDocument/2006/relationships/hyperlink" Target="https://www.mercadolivre.com.br/anuncios/lista/promos?page=1&amp;search=3877957247" TargetMode="External"/><Relationship Id="rId36" Type="http://schemas.openxmlformats.org/officeDocument/2006/relationships/hyperlink" Target="https://www.mercadolivre.com.br/anuncios/lista/promos?page=1&amp;search=3718769374" TargetMode="External"/><Relationship Id="rId57" Type="http://schemas.openxmlformats.org/officeDocument/2006/relationships/hyperlink" Target="https://www.mercadolivre.com.br/anuncios/lista/promos?page=1&amp;search=3361001649" TargetMode="External"/><Relationship Id="rId106" Type="http://schemas.openxmlformats.org/officeDocument/2006/relationships/hyperlink" Target="https://www.mercadolivre.com.br/anuncios/lista/promos?page=1&amp;search=2719734554" TargetMode="External"/><Relationship Id="rId127" Type="http://schemas.openxmlformats.org/officeDocument/2006/relationships/hyperlink" Target="https://www.mercadolivre.com.br/anuncios/lista/promos?page=1&amp;search=4251092201" TargetMode="External"/><Relationship Id="rId10" Type="http://schemas.openxmlformats.org/officeDocument/2006/relationships/hyperlink" Target="https://www.mercadolivre.com.br/anuncios/lista/promos?page=1&amp;search=4575547698" TargetMode="External"/><Relationship Id="rId31" Type="http://schemas.openxmlformats.org/officeDocument/2006/relationships/hyperlink" Target="https://www.mercadolivre.com.br/anuncios/lista/promos?page=1&amp;search=3722434654" TargetMode="External"/><Relationship Id="rId52" Type="http://schemas.openxmlformats.org/officeDocument/2006/relationships/hyperlink" Target="https://www.mercadolivre.com.br/anuncios/lista/promos?page=1&amp;search=4736924160" TargetMode="External"/><Relationship Id="rId73" Type="http://schemas.openxmlformats.org/officeDocument/2006/relationships/hyperlink" Target="https://www.mercadolivre.com.br/anuncios/lista/promos?page=1&amp;search=4982939386" TargetMode="External"/><Relationship Id="rId78" Type="http://schemas.openxmlformats.org/officeDocument/2006/relationships/hyperlink" Target="https://www.mercadolivre.com.br/anuncios/lista/promos?page=1&amp;search=4943516640" TargetMode="External"/><Relationship Id="rId94" Type="http://schemas.openxmlformats.org/officeDocument/2006/relationships/hyperlink" Target="https://www.mercadolivre.com.br/anuncios/lista/promos?page=1&amp;search=4498876918" TargetMode="External"/><Relationship Id="rId99" Type="http://schemas.openxmlformats.org/officeDocument/2006/relationships/hyperlink" Target="https://www.mercadolivre.com.br/anuncios/lista/promos?page=1&amp;search=4604996266" TargetMode="External"/><Relationship Id="rId101" Type="http://schemas.openxmlformats.org/officeDocument/2006/relationships/hyperlink" Target="https://www.mercadolivre.com.br/anuncios/lista/promos?page=1&amp;search=4501231134" TargetMode="External"/><Relationship Id="rId122" Type="http://schemas.openxmlformats.org/officeDocument/2006/relationships/hyperlink" Target="https://www.mercadolivre.com.br/anuncios/lista/promos?page=1&amp;search=5775483352" TargetMode="External"/><Relationship Id="rId143" Type="http://schemas.openxmlformats.org/officeDocument/2006/relationships/hyperlink" Target="https://www.mercadolivre.com.br/anuncios/lista/promos?page=1&amp;search=5929192706" TargetMode="External"/><Relationship Id="rId148" Type="http://schemas.openxmlformats.org/officeDocument/2006/relationships/hyperlink" Target="https://www.mercadolivre.com.br/anuncios/lista/promos?page=1&amp;search=5929192702" TargetMode="External"/><Relationship Id="rId164" Type="http://schemas.openxmlformats.org/officeDocument/2006/relationships/hyperlink" Target="https://www.mercadolivre.com.br/anuncios/lista/promos?page=1&amp;search=5929270234" TargetMode="External"/><Relationship Id="rId169" Type="http://schemas.openxmlformats.org/officeDocument/2006/relationships/hyperlink" Target="https://www.mercadolivre.com.br/anuncios/lista/promos?page=1&amp;search=4353005817" TargetMode="External"/><Relationship Id="rId4" Type="http://schemas.openxmlformats.org/officeDocument/2006/relationships/hyperlink" Target="https://www.mercadolivre.com.br/anuncios/lista/promos?page=1&amp;search=4127311479" TargetMode="External"/><Relationship Id="rId9" Type="http://schemas.openxmlformats.org/officeDocument/2006/relationships/hyperlink" Target="https://www.mercadolivre.com.br/anuncios/lista/promos?page=1&amp;search=3666107331" TargetMode="External"/><Relationship Id="rId180" Type="http://schemas.openxmlformats.org/officeDocument/2006/relationships/ctrlProp" Target="../ctrlProps/ctrlProp4.xml"/><Relationship Id="rId26" Type="http://schemas.openxmlformats.org/officeDocument/2006/relationships/hyperlink" Target="https://www.mercadolivre.com.br/anuncios/lista/promos?page=1&amp;search=5135720716" TargetMode="External"/><Relationship Id="rId47" Type="http://schemas.openxmlformats.org/officeDocument/2006/relationships/hyperlink" Target="https://www.mercadolivre.com.br/anuncios/lista/promos?page=1&amp;search=3622845355" TargetMode="External"/><Relationship Id="rId68" Type="http://schemas.openxmlformats.org/officeDocument/2006/relationships/hyperlink" Target="https://www.mercadolivre.com.br/anuncios/lista/promos?page=1&amp;search=3842676429" TargetMode="External"/><Relationship Id="rId89" Type="http://schemas.openxmlformats.org/officeDocument/2006/relationships/hyperlink" Target="https://www.mercadolivre.com.br/anuncios/lista/promos?page=1&amp;search=3624928527" TargetMode="External"/><Relationship Id="rId112" Type="http://schemas.openxmlformats.org/officeDocument/2006/relationships/hyperlink" Target="https://www.mercadolivre.com.br/anuncios/lista/promos?page=1&amp;search=3582103125" TargetMode="External"/><Relationship Id="rId133" Type="http://schemas.openxmlformats.org/officeDocument/2006/relationships/hyperlink" Target="https://www.mercadolivre.com.br/anuncios/lista/promos?page=1&amp;search=4258092647" TargetMode="External"/><Relationship Id="rId154" Type="http://schemas.openxmlformats.org/officeDocument/2006/relationships/hyperlink" Target="https://www.mercadolivre.com.br/anuncios/lista/promos?page=1&amp;search=5929192704" TargetMode="External"/><Relationship Id="rId175" Type="http://schemas.openxmlformats.org/officeDocument/2006/relationships/hyperlink" Target="https://www.mercadolivre.com.br/anuncios/lista/promos?page=1&amp;search=4595756493" TargetMode="External"/><Relationship Id="rId16" Type="http://schemas.openxmlformats.org/officeDocument/2006/relationships/hyperlink" Target="https://www.mercadolivre.com.br/anuncios/lista/promos?page=1&amp;search=4957073278" TargetMode="External"/><Relationship Id="rId37" Type="http://schemas.openxmlformats.org/officeDocument/2006/relationships/hyperlink" Target="https://www.mercadolivre.com.br/anuncios/lista/promos?page=1&amp;search=5016336264" TargetMode="External"/><Relationship Id="rId58" Type="http://schemas.openxmlformats.org/officeDocument/2006/relationships/hyperlink" Target="https://www.mercadolivre.com.br/anuncios/lista/promos?page=1&amp;search=3738471296" TargetMode="External"/><Relationship Id="rId79" Type="http://schemas.openxmlformats.org/officeDocument/2006/relationships/hyperlink" Target="https://www.mercadolivre.com.br/anuncios/lista/promos?page=1&amp;search=3624934593" TargetMode="External"/><Relationship Id="rId102" Type="http://schemas.openxmlformats.org/officeDocument/2006/relationships/hyperlink" Target="https://www.mercadolivre.com.br/anuncios/lista/promos?page=1&amp;search=4481287492" TargetMode="External"/><Relationship Id="rId123" Type="http://schemas.openxmlformats.org/officeDocument/2006/relationships/hyperlink" Target="https://www.mercadolivre.com.br/anuncios/lista/promos?page=1&amp;search=5736327940" TargetMode="External"/><Relationship Id="rId144" Type="http://schemas.openxmlformats.org/officeDocument/2006/relationships/hyperlink" Target="https://www.mercadolivre.com.br/anuncios/lista/promos?page=1&amp;search=4301361665" TargetMode="External"/><Relationship Id="rId90" Type="http://schemas.openxmlformats.org/officeDocument/2006/relationships/hyperlink" Target="https://www.mercadolivre.com.br/anuncios/lista/promos?page=1&amp;search=4582160862" TargetMode="External"/><Relationship Id="rId165" Type="http://schemas.openxmlformats.org/officeDocument/2006/relationships/hyperlink" Target="https://www.mercadolivre.com.br/anuncios/lista/promos?page=1&amp;search=4301819281" TargetMode="External"/><Relationship Id="rId27" Type="http://schemas.openxmlformats.org/officeDocument/2006/relationships/hyperlink" Target="https://www.mercadolivre.com.br/anuncios/lista/promos?page=1&amp;search=3654317079" TargetMode="External"/><Relationship Id="rId48" Type="http://schemas.openxmlformats.org/officeDocument/2006/relationships/hyperlink" Target="https://www.mercadolivre.com.br/anuncios/lista/promos?page=1&amp;search=4651577734" TargetMode="External"/><Relationship Id="rId69" Type="http://schemas.openxmlformats.org/officeDocument/2006/relationships/hyperlink" Target="https://www.mercadolivre.com.br/anuncios/lista/promos?page=1&amp;search=3639871819" TargetMode="External"/><Relationship Id="rId113" Type="http://schemas.openxmlformats.org/officeDocument/2006/relationships/hyperlink" Target="https://www.mercadolivre.com.br/anuncios/lista/promos?page=1&amp;search=3375753069" TargetMode="External"/><Relationship Id="rId134" Type="http://schemas.openxmlformats.org/officeDocument/2006/relationships/hyperlink" Target="https://www.mercadolivre.com.br/anuncios/lista/promos?page=1&amp;search=5820696454" TargetMode="External"/><Relationship Id="rId80" Type="http://schemas.openxmlformats.org/officeDocument/2006/relationships/hyperlink" Target="https://www.mercadolivre.com.br/anuncios/lista/promos?page=1&amp;search=3988896269" TargetMode="External"/><Relationship Id="rId155" Type="http://schemas.openxmlformats.org/officeDocument/2006/relationships/hyperlink" Target="https://www.mercadolivre.com.br/anuncios/lista/promos?page=1&amp;search=5929244544" TargetMode="External"/><Relationship Id="rId176" Type="http://schemas.openxmlformats.org/officeDocument/2006/relationships/hyperlink" Target="https://www.mercadolivre.com.br/anuncios/lista/promos?page=1&amp;search=6818088748" TargetMode="External"/><Relationship Id="rId17" Type="http://schemas.openxmlformats.org/officeDocument/2006/relationships/hyperlink" Target="https://www.mercadolivre.com.br/anuncios/lista/promos?page=1&amp;search=3837344933" TargetMode="External"/><Relationship Id="rId38" Type="http://schemas.openxmlformats.org/officeDocument/2006/relationships/hyperlink" Target="https://www.mercadolivre.com.br/anuncios/lista/promos?page=1&amp;search=5031089356" TargetMode="External"/><Relationship Id="rId59" Type="http://schemas.openxmlformats.org/officeDocument/2006/relationships/hyperlink" Target="https://www.mercadolivre.com.br/anuncios/lista/promos?page=1&amp;search=3611174137" TargetMode="External"/><Relationship Id="rId103" Type="http://schemas.openxmlformats.org/officeDocument/2006/relationships/hyperlink" Target="https://www.mercadolivre.com.br/anuncios/lista/promos?page=1&amp;search=3678772041" TargetMode="External"/><Relationship Id="rId124" Type="http://schemas.openxmlformats.org/officeDocument/2006/relationships/hyperlink" Target="https://www.mercadolivre.com.br/anuncios/lista/promos?page=1&amp;search=4245338607" TargetMode="External"/><Relationship Id="rId70" Type="http://schemas.openxmlformats.org/officeDocument/2006/relationships/hyperlink" Target="https://www.mercadolivre.com.br/anuncios/lista/promos?page=1&amp;search=3810090387" TargetMode="External"/><Relationship Id="rId91" Type="http://schemas.openxmlformats.org/officeDocument/2006/relationships/hyperlink" Target="https://www.mercadolivre.com.br/anuncios/lista/promos?page=1&amp;search=3640866765" TargetMode="External"/><Relationship Id="rId145" Type="http://schemas.openxmlformats.org/officeDocument/2006/relationships/hyperlink" Target="https://www.mercadolivre.com.br/anuncios/lista/promos?page=1&amp;search=5928906704" TargetMode="External"/><Relationship Id="rId166" Type="http://schemas.openxmlformats.org/officeDocument/2006/relationships/hyperlink" Target="https://www.mercadolivre.com.br/anuncios/lista/promos?page=1&amp;search=4302033261" TargetMode="External"/><Relationship Id="rId1" Type="http://schemas.openxmlformats.org/officeDocument/2006/relationships/hyperlink" Target="https://www.mercadolivre.com.br/anuncios/lista/promos?page=1&amp;search=4042242005" TargetMode="External"/><Relationship Id="rId28" Type="http://schemas.openxmlformats.org/officeDocument/2006/relationships/hyperlink" Target="https://www.mercadolivre.com.br/anuncios/lista/promos?page=1&amp;search=3658567815" TargetMode="External"/><Relationship Id="rId49" Type="http://schemas.openxmlformats.org/officeDocument/2006/relationships/hyperlink" Target="https://www.mercadolivre.com.br/anuncios/lista/promos?page=1&amp;search=3374507223" TargetMode="External"/><Relationship Id="rId114" Type="http://schemas.openxmlformats.org/officeDocument/2006/relationships/hyperlink" Target="https://www.mercadolivre.com.br/anuncios/lista/promos?page=1&amp;search=3609706711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ercadolivre.com.br/pino-da-manga-de-eixo-diversas-medidas/up/MLBU3560427774" TargetMode="External"/><Relationship Id="rId21" Type="http://schemas.openxmlformats.org/officeDocument/2006/relationships/hyperlink" Target="https://produto.mercadolivre.com.br/MLB-3348551743-terminal-direco-l-dir-sprinter-416516-2020-_JM?conversao=0.00" TargetMode="External"/><Relationship Id="rId42" Type="http://schemas.openxmlformats.org/officeDocument/2006/relationships/hyperlink" Target="https://produto.mercadolivre.com.br/MLB-3807425245-valvula-de-escape-vs1158-eaton-45-graus-2-pecas-_JM" TargetMode="External"/><Relationship Id="rId63" Type="http://schemas.openxmlformats.org/officeDocument/2006/relationships/hyperlink" Target="https://produto.mercadolivre.com.br/MLB-5045755448-cabo-velocimetro-ducato-boxer-jumper-2001-cabovel-149105-_JM" TargetMode="External"/><Relationship Id="rId84" Type="http://schemas.openxmlformats.org/officeDocument/2006/relationships/hyperlink" Target="https://produto.mercadolivre.com.br/MLB-5489116676-cabecote-motor-mercedes-benz-om355-1519-1520-3550100220-_JM?conversao=NaN" TargetMode="External"/><Relationship Id="rId138" Type="http://schemas.openxmlformats.org/officeDocument/2006/relationships/hyperlink" Target="https://www.mercadolivre.com.br/pino-da-manga-de-eixo-diversas-medidas/up/MLBU3560430250" TargetMode="External"/><Relationship Id="rId107" Type="http://schemas.openxmlformats.org/officeDocument/2006/relationships/hyperlink" Target="https://produto.mercadolivre.com.br/MLB-4152284233-cinta-catraca-amarraco-carga-1000kg-moto-bike-barco-prancha-_JM?conversao=0.00" TargetMode="External"/><Relationship Id="rId11" Type="http://schemas.openxmlformats.org/officeDocument/2006/relationships/hyperlink" Target="https://produto.mercadolivre.com.br/MLB-4595796218-par-lmpadas-farol-baixo-e-alto-h4-philips-original-12v-_JM" TargetMode="External"/><Relationship Id="rId32" Type="http://schemas.openxmlformats.org/officeDocument/2006/relationships/hyperlink" Target="https://produto.mercadolivre.com.br/MLB-3717000035-retentor-bomba-dagua-sabo-0059970047-0288-_JM" TargetMode="External"/><Relationship Id="rId53" Type="http://schemas.openxmlformats.org/officeDocument/2006/relationships/hyperlink" Target="https://produto.mercadolivre.com.br/MLB-4736924160-retentor-da-tampa-distribuico-om352314366-3449977446-_JM" TargetMode="External"/><Relationship Id="rId74" Type="http://schemas.openxmlformats.org/officeDocument/2006/relationships/hyperlink" Target="https://produto.mercadolivre.com.br/MLB-3689463233-kit-3-caixas-disco-tacografo-semanal-125km-7dias-vdo-_JM" TargetMode="External"/><Relationship Id="rId128" Type="http://schemas.openxmlformats.org/officeDocument/2006/relationships/hyperlink" Target="https://www.mercadolivre.com.br/pino-da-manga-de-eixo-diversas-medidas/up/MLBU3560430252" TargetMode="External"/><Relationship Id="rId149" Type="http://schemas.openxmlformats.org/officeDocument/2006/relationships/printerSettings" Target="../printerSettings/printerSettings3.bin"/><Relationship Id="rId5" Type="http://schemas.openxmlformats.org/officeDocument/2006/relationships/hyperlink" Target="https://produto.mercadolivre.com.br/MLB-3622845355-refletor-parachoque-tras-lado-esquerdo-sprinter-415515-_JM" TargetMode="External"/><Relationship Id="rId95" Type="http://schemas.openxmlformats.org/officeDocument/2006/relationships/hyperlink" Target="https://www.mercadolivre.com.br/mola-patim-freio-dianteiro-traseiro-mercedes-3889937110/up/MLBU3486052269?pdp_filters=item_id%3AMLB4251092201&amp;conversao=0.00" TargetMode="External"/><Relationship Id="rId22" Type="http://schemas.openxmlformats.org/officeDocument/2006/relationships/hyperlink" Target="https://produto.mercadolivre.com.br/MLB-3361001649-sensor-de-presso-de-oleo-de-0-5-bar-dual-dois-comandos-_JM" TargetMode="External"/><Relationship Id="rId27" Type="http://schemas.openxmlformats.org/officeDocument/2006/relationships/hyperlink" Target="https://produto.mercadolivre.com.br/MLB-3639871819-tubo-guia-da-vareta-de-oleo-sprinter-310-original-70993005e-_JM" TargetMode="External"/><Relationship Id="rId43" Type="http://schemas.openxmlformats.org/officeDocument/2006/relationships/hyperlink" Target="https://produto.mercadolivre.com.br/MLB-3810090387-valvula-de-admisso-vs1136-auto-tecnica-60-graus-2-pcs-_JM" TargetMode="External"/><Relationship Id="rId48" Type="http://schemas.openxmlformats.org/officeDocument/2006/relationships/hyperlink" Target="https://produto.mercadolivre.com.br/MLB-3842165551-mangueira-respiro-motor-fiat-ducato-28-1999-cod-500336538-_JM" TargetMode="External"/><Relationship Id="rId64" Type="http://schemas.openxmlformats.org/officeDocument/2006/relationships/hyperlink" Target="https://produto.mercadolivre.com.br/MLB-5079229346-kit-de-filtro-de-transmisso-donaldson-p552478-_JM" TargetMode="External"/><Relationship Id="rId69" Type="http://schemas.openxmlformats.org/officeDocument/2006/relationships/hyperlink" Target="https://produto.mercadolivre.com.br/MLB-3920869323-porta-completa-esquerda-mb-608-708-agl-vidro-de-subir-_JM" TargetMode="External"/><Relationship Id="rId113" Type="http://schemas.openxmlformats.org/officeDocument/2006/relationships/hyperlink" Target="https://www.mercadolivre.com.br/cinta-catraca-amarracao-carga-1000kg-moto-bike-barco-prancha/up/MLBU3181218464" TargetMode="External"/><Relationship Id="rId118" Type="http://schemas.openxmlformats.org/officeDocument/2006/relationships/hyperlink" Target="https://www.mercadolivre.com.br/pino-da-manga-de-eixo-diversas-medidas/up/MLBU3552995189" TargetMode="External"/><Relationship Id="rId134" Type="http://schemas.openxmlformats.org/officeDocument/2006/relationships/hyperlink" Target="https://www.mercadolivre.com.br/pino-da-manga-de-eixo-diversas-medidas/up/MLBU3553057721" TargetMode="External"/><Relationship Id="rId139" Type="http://schemas.openxmlformats.org/officeDocument/2006/relationships/hyperlink" Target="https://www.mercadolivre.com.br/pino-da-manga-de-eixo-diversas-medidas/up/MLBU3560427766" TargetMode="External"/><Relationship Id="rId80" Type="http://schemas.openxmlformats.org/officeDocument/2006/relationships/hyperlink" Target="https://produto.mercadolivre.com.br/MLB-4007067801-peneira-tanque-base-ferro-c-furo-14x15mm-_JM" TargetMode="External"/><Relationship Id="rId85" Type="http://schemas.openxmlformats.org/officeDocument/2006/relationships/hyperlink" Target="https://produto.mercadolivre.com.br/MLB-4127311479-moldura-aro-farol-lado-esquerdo-1113-2213-cara-preta-_JM?conversao=0.00" TargetMode="External"/><Relationship Id="rId150" Type="http://schemas.openxmlformats.org/officeDocument/2006/relationships/drawing" Target="../drawings/drawing3.xml"/><Relationship Id="rId155" Type="http://schemas.openxmlformats.org/officeDocument/2006/relationships/comments" Target="../comments2.xml"/><Relationship Id="rId12" Type="http://schemas.openxmlformats.org/officeDocument/2006/relationships/hyperlink" Target="https://produto.mercadolivre.com.br/MLB-5070948140-par-anel-sincronizado-4a5a-caixa-g3-6061-o355-o365-o364-_JM" TargetMode="External"/><Relationship Id="rId17" Type="http://schemas.openxmlformats.org/officeDocument/2006/relationships/hyperlink" Target="https://produto.mercadolivre.com.br/MLB-3793372071-valvula-de-admisso-vs2770-eaton-20-graus-6-pecas-_JM" TargetMode="External"/><Relationship Id="rId33" Type="http://schemas.openxmlformats.org/officeDocument/2006/relationships/hyperlink" Target="https://produto.mercadolivre.com.br/MLB-3717205475-retentor-da-roda-dianteira-mbb-32111111113-0009973446-_JM" TargetMode="External"/><Relationship Id="rId38" Type="http://schemas.openxmlformats.org/officeDocument/2006/relationships/hyperlink" Target="https://produto.mercadolivre.com.br/MLB-3754185396-sensor-de-oleo-vdo-0-a-10-bar-_JM" TargetMode="External"/><Relationship Id="rId59" Type="http://schemas.openxmlformats.org/officeDocument/2006/relationships/hyperlink" Target="https://produto.mercadolivre.com.br/MLB-4982939386-valvula-de-admisso-vs2770-eaton-20-graus-2-pecas-_JM" TargetMode="External"/><Relationship Id="rId103" Type="http://schemas.openxmlformats.org/officeDocument/2006/relationships/hyperlink" Target="https://produto.mercadolivre.com.br/MLB-5845777508-espelho-de-freio-hidraulico-mb-1113-diant-esq-3444207016-vinho-_JM" TargetMode="External"/><Relationship Id="rId108" Type="http://schemas.openxmlformats.org/officeDocument/2006/relationships/hyperlink" Target="https://www.mercadolivre.com.br/frontal-farol-quadrado-para-caminhao-mercedes-agl-1518-1113/up/MLBU3031948282?pdp_filters=item_id:MLB5295536766" TargetMode="External"/><Relationship Id="rId124" Type="http://schemas.openxmlformats.org/officeDocument/2006/relationships/hyperlink" Target="https://www.mercadolivre.com.br/pino-da-manga-de-eixo-diversas-medidas/up/MLBU3560427764" TargetMode="External"/><Relationship Id="rId129" Type="http://schemas.openxmlformats.org/officeDocument/2006/relationships/hyperlink" Target="https://www.mercadolivre.com.br/pino-da-manga-de-eixo-diversas-medidas/up/MLBU3553057725" TargetMode="External"/><Relationship Id="rId54" Type="http://schemas.openxmlformats.org/officeDocument/2006/relationships/hyperlink" Target="https://produto.mercadolivre.com.br/MLB-4764002380-sensor-de-oleo-0-a-25-bar-rosca-18-_JM" TargetMode="External"/><Relationship Id="rId70" Type="http://schemas.openxmlformats.org/officeDocument/2006/relationships/hyperlink" Target="https://produto.mercadolivre.com.br/MLB-5214366924-parabarro-kia-certato-2009-a-2003-direito-_JM" TargetMode="External"/><Relationship Id="rId75" Type="http://schemas.openxmlformats.org/officeDocument/2006/relationships/hyperlink" Target="https://produto.mercadolivre.com.br/MLB-5287714654-tampa-do-filtro-de-ar-s-sensor-sprinter-310-a0010949506-_JM" TargetMode="External"/><Relationship Id="rId91" Type="http://schemas.openxmlformats.org/officeDocument/2006/relationships/hyperlink" Target="https://produto.mercadolivre.com.br/MLB-4179556159-alternador-chevette-gm-original-94645085-_JM" TargetMode="External"/><Relationship Id="rId96" Type="http://schemas.openxmlformats.org/officeDocument/2006/relationships/hyperlink" Target="https://produto.mercadolivre.com.br/MLB-4250176843-trava-antifurto-tanque-combustivel-plastico-rosca-externa-_JM" TargetMode="External"/><Relationship Id="rId140" Type="http://schemas.openxmlformats.org/officeDocument/2006/relationships/hyperlink" Target="https://www.mercadolivre.com.br/pino-da-manga-de-eixo-diversas-medidas/up/MLBU3560429356" TargetMode="External"/><Relationship Id="rId145" Type="http://schemas.openxmlformats.org/officeDocument/2006/relationships/hyperlink" Target="https://produto.mercadolivre.com.br/MLB-6163558918-haste-medidor-nivel-de-oleo-70320078e-_JM" TargetMode="External"/><Relationship Id="rId1" Type="http://schemas.openxmlformats.org/officeDocument/2006/relationships/hyperlink" Target="https://www.mercadolivre.com.br/anuncios/lista/promos?page=1" TargetMode="External"/><Relationship Id="rId6" Type="http://schemas.openxmlformats.org/officeDocument/2006/relationships/hyperlink" Target="https://produto.mercadolivre.com.br/MLB-3729436287-par-pisto-para-motor-om366la-forjado-e-repotenciado-mtu-_JM" TargetMode="External"/><Relationship Id="rId23" Type="http://schemas.openxmlformats.org/officeDocument/2006/relationships/hyperlink" Target="https://produto.mercadolivre.com.br/MLB-3348584485-lanterna-tras-sprinter-l-direito-314416516-furgo-2020-_JM" TargetMode="External"/><Relationship Id="rId28" Type="http://schemas.openxmlformats.org/officeDocument/2006/relationships/hyperlink" Target="https://produto.mercadolivre.com.br/MLB-3654317079-lmpada-farol-baixo-e-alto-h4-philips-original-12v-12342-_JM" TargetMode="External"/><Relationship Id="rId49" Type="http://schemas.openxmlformats.org/officeDocument/2006/relationships/hyperlink" Target="https://produto.mercadolivre.com.br/MLB-3859451769-tubo-flexivel-de-freio-traseiro-280mm-_JM" TargetMode="External"/><Relationship Id="rId114" Type="http://schemas.openxmlformats.org/officeDocument/2006/relationships/hyperlink" Target="https://www.mercadolivre.com.br/rolamento-cardan-mb-55mm-borracha-cobra-524599-60-12v/up/MLBU3246439224?pdp_filters=item_id:MLB5442378912" TargetMode="External"/><Relationship Id="rId119" Type="http://schemas.openxmlformats.org/officeDocument/2006/relationships/hyperlink" Target="https://www.mercadolivre.com.br/pino-da-manga-de-eixo-diversas-medidas/up/MLBU3560367594" TargetMode="External"/><Relationship Id="rId44" Type="http://schemas.openxmlformats.org/officeDocument/2006/relationships/hyperlink" Target="https://produto.mercadolivre.com.br/MLB-3810102663-valvula-de-admisso-vs1136-auto-tecnica-60-graus-6-pcs-_JM" TargetMode="External"/><Relationship Id="rId60" Type="http://schemas.openxmlformats.org/officeDocument/2006/relationships/hyperlink" Target="https://produto.mercadolivre.com.br/MLB-5016336264-par-disco-freio-dianteiro-ducato-28-aro-15-hipper-freios-_JM" TargetMode="External"/><Relationship Id="rId65" Type="http://schemas.openxmlformats.org/officeDocument/2006/relationships/hyperlink" Target="https://produto.mercadolivre.com.br/MLB-5082694220-sapatas-de-freio-mazzicar-ducato-2000-2005-_JM" TargetMode="External"/><Relationship Id="rId81" Type="http://schemas.openxmlformats.org/officeDocument/2006/relationships/hyperlink" Target="https://produto.mercadolivre.com.br/MLB-4011697869-filtro-oleo-lubrificante-mercedes-o-364-om3555-h1164-_JM" TargetMode="External"/><Relationship Id="rId86" Type="http://schemas.openxmlformats.org/officeDocument/2006/relationships/hyperlink" Target="https://produto.mercadolivre.com.br/MLB-5507423434-moldura-aro-farol-lado-esquerdo-1113-2213-cara-branca-_JM" TargetMode="External"/><Relationship Id="rId130" Type="http://schemas.openxmlformats.org/officeDocument/2006/relationships/hyperlink" Target="https://www.mercadolivre.com.br/pino-da-manga-de-eixo-diversas-medidas/up/MLBU3560427776" TargetMode="External"/><Relationship Id="rId135" Type="http://schemas.openxmlformats.org/officeDocument/2006/relationships/hyperlink" Target="https://www.mercadolivre.com.br/pino-da-manga-de-eixo-diversas-medidas/up/MLBU3560427770" TargetMode="External"/><Relationship Id="rId151" Type="http://schemas.openxmlformats.org/officeDocument/2006/relationships/vmlDrawing" Target="../drawings/vmlDrawing3.vml"/><Relationship Id="rId13" Type="http://schemas.openxmlformats.org/officeDocument/2006/relationships/hyperlink" Target="https://produto.mercadolivre.com.br/MLB-5135720716-kit-lampada-farol-alto-baixo-e-lanterna-foco-duplo-h1-h7-t10-_JM" TargetMode="External"/><Relationship Id="rId18" Type="http://schemas.openxmlformats.org/officeDocument/2006/relationships/hyperlink" Target="https://produto.mercadolivre.com.br/MLB-4477462426-disco-de-tacografo-diario-125x24-caixa-com-100-unidades-_JM" TargetMode="External"/><Relationship Id="rId39" Type="http://schemas.openxmlformats.org/officeDocument/2006/relationships/hyperlink" Target="https://produto.mercadolivre.com.br/MLB-3789964608-indicador-de-combustivel-eletrico-_JM" TargetMode="External"/><Relationship Id="rId109" Type="http://schemas.openxmlformats.org/officeDocument/2006/relationships/hyperlink" Target="https://www.mercadolivre.com.br/macaneta-interna-porta-lateral-sprinter-9712-diant--tras/up/MLBU3485281780" TargetMode="External"/><Relationship Id="rId34" Type="http://schemas.openxmlformats.org/officeDocument/2006/relationships/hyperlink" Target="https://produto.mercadolivre.com.br/MLB-3718769374-braco-axial-p-sprinter-416516-lado-diresq-2020-em-diante-_JM" TargetMode="External"/><Relationship Id="rId50" Type="http://schemas.openxmlformats.org/officeDocument/2006/relationships/hyperlink" Target="https://produto.mercadolivre.com.br/MLB-4561957876-encanamento-do-cilindro-da-embreagem-da-sprinter-415515-_JM" TargetMode="External"/><Relationship Id="rId55" Type="http://schemas.openxmlformats.org/officeDocument/2006/relationships/hyperlink" Target="https://produto.mercadolivre.com.br/MLB-4783780204-tanque-de-combustivel-galvanizado-140-litros-mercedes-1113-_JM" TargetMode="External"/><Relationship Id="rId76" Type="http://schemas.openxmlformats.org/officeDocument/2006/relationships/hyperlink" Target="https://produto.mercadolivre.com.br/MLB-3988896269-bolsa-lateral-porta-caminho-mb-hpn-ln-709-710-cinza-_JM" TargetMode="External"/><Relationship Id="rId97" Type="http://schemas.openxmlformats.org/officeDocument/2006/relationships/hyperlink" Target="https://www.mercadolivre.com.br/porca-ponteira-cardan-28-x-15-ferro-3224117050/up/MLBU3494802996?pdp_filters=item_id:MLB5800799064" TargetMode="External"/><Relationship Id="rId104" Type="http://schemas.openxmlformats.org/officeDocument/2006/relationships/hyperlink" Target="https://www.mercadolivre.com.br/espelho-freio-hidraulico-traseiro-ld-mb-1111-1113-1116-vinho/up/MLBU3517484210?pdp_filters=item_id%3AMLB4271786349&amp;conversao=0.00" TargetMode="External"/><Relationship Id="rId120" Type="http://schemas.openxmlformats.org/officeDocument/2006/relationships/hyperlink" Target="https://www.mercadolivre.com.br/pino-da-manga-de-eixo-diversas-medidas/up/MLBU3560429358" TargetMode="External"/><Relationship Id="rId125" Type="http://schemas.openxmlformats.org/officeDocument/2006/relationships/hyperlink" Target="https://www.mercadolivre.com.br/pino-da-manga-de-eixo-diversas-medidas/up/MLBU3560429354" TargetMode="External"/><Relationship Id="rId141" Type="http://schemas.openxmlformats.org/officeDocument/2006/relationships/hyperlink" Target="https://www.mercadolivre.com.br/pino-da-manga-de-eixo-diversas-medidas/up/MLBU3553057719" TargetMode="External"/><Relationship Id="rId146" Type="http://schemas.openxmlformats.org/officeDocument/2006/relationships/hyperlink" Target="https://produto.mercadolivre.com.br/MLB-4445346663-reparo-cilindro-de-roda-parcial-12732-rrcr-56556-_JM" TargetMode="External"/><Relationship Id="rId7" Type="http://schemas.openxmlformats.org/officeDocument/2006/relationships/hyperlink" Target="https://produto.mercadolivre.com.br/MLB-3738471296-sprinter-alavanca-de-freio-de-mo-cdi-_JM" TargetMode="External"/><Relationship Id="rId71" Type="http://schemas.openxmlformats.org/officeDocument/2006/relationships/hyperlink" Target="https://produto.mercadolivre.com.br/MLB-5214366924-parabarro-kia-certato-2009-a-2003-direito-_JM" TargetMode="External"/><Relationship Id="rId92" Type="http://schemas.openxmlformats.org/officeDocument/2006/relationships/hyperlink" Target="https://www.mercadolivre.com.br/farol-sealed-beam-p-lamp-h4-s-vigia--180mm/up/MLBU3437257921?pdp_filters=item_id:MLB5736327940" TargetMode="External"/><Relationship Id="rId2" Type="http://schemas.openxmlformats.org/officeDocument/2006/relationships/hyperlink" Target="https://produto.mercadolivre.com.br/MLB-2708946936-boia-tanque-mb-sprinter-310d-312d-311cdi-313cdi-412cdi-_JM" TargetMode="External"/><Relationship Id="rId29" Type="http://schemas.openxmlformats.org/officeDocument/2006/relationships/hyperlink" Target="https://produto.mercadolivre.com.br/MLB-3678486959-kit-2-lmpada-philips-crystal-vision-ultra-h4-55w-12v-_JM" TargetMode="External"/><Relationship Id="rId24" Type="http://schemas.openxmlformats.org/officeDocument/2006/relationships/hyperlink" Target="https://produto.mercadolivre.com.br/MLB-3374596069-tacmetro-c-ajuste-p-w-alternador-3500rpm-1224v-preto-_JM" TargetMode="External"/><Relationship Id="rId40" Type="http://schemas.openxmlformats.org/officeDocument/2006/relationships/hyperlink" Target="https://produto.mercadolivre.com.br/MLB-3793388171-valvula-de-admisso-vs1157-eaton-45-graus-6-pecas-_JM" TargetMode="External"/><Relationship Id="rId45" Type="http://schemas.openxmlformats.org/officeDocument/2006/relationships/hyperlink" Target="https://produto.mercadolivre.com.br/MLB-3810548977-valvula-de-escape-vs1137-auto-tecnica-60-graus-2-pcs-_JM" TargetMode="External"/><Relationship Id="rId66" Type="http://schemas.openxmlformats.org/officeDocument/2006/relationships/hyperlink" Target="https://produto.mercadolivre.com.br/MLB-5095183610-par-piv-suspenso-master-dianteiro-inferior-esq-ou-dir-_JM" TargetMode="External"/><Relationship Id="rId87" Type="http://schemas.openxmlformats.org/officeDocument/2006/relationships/hyperlink" Target="https://produto.mercadolivre.com.br/MLB-5475689610-tampa-do-filtro-de-ar-s-sensor-sprinter-310-a0010949506-_JM" TargetMode="External"/><Relationship Id="rId110" Type="http://schemas.openxmlformats.org/officeDocument/2006/relationships/hyperlink" Target="https://produto.mercadolivre.com.br/MLB-5798446202-kit-10-mola-patim-freio-dianteiro-traseiro-mercedes-38899371-_JM" TargetMode="External"/><Relationship Id="rId115" Type="http://schemas.openxmlformats.org/officeDocument/2006/relationships/hyperlink" Target="https://www.mercadolivre.com.br/pino-da-manga-de-eixo-diversas-medidas/up/MLBU3553057729" TargetMode="External"/><Relationship Id="rId131" Type="http://schemas.openxmlformats.org/officeDocument/2006/relationships/hyperlink" Target="https://www.mercadolivre.com.br/pino-da-manga-de-eixo-diversas-medidas/up/MLBU3553057727" TargetMode="External"/><Relationship Id="rId136" Type="http://schemas.openxmlformats.org/officeDocument/2006/relationships/hyperlink" Target="https://www.mercadolivre.com.br/pino-da-manga-de-eixo-diversas-medidas/up/MLBU3560427760" TargetMode="External"/><Relationship Id="rId61" Type="http://schemas.openxmlformats.org/officeDocument/2006/relationships/hyperlink" Target="https://produto.mercadolivre.com.br/MLB-5031089356-par-disco-freio-solido-traseiro-ducato-aro-15-hipper-freios-_JM" TargetMode="External"/><Relationship Id="rId82" Type="http://schemas.openxmlformats.org/officeDocument/2006/relationships/hyperlink" Target="https://produto.mercadolivre.com.br/MLB-4032310365-frontal-farol-externo-mb-608-708-72-a-88-ld-3086277201-_JM" TargetMode="External"/><Relationship Id="rId152" Type="http://schemas.openxmlformats.org/officeDocument/2006/relationships/ctrlProp" Target="../ctrlProps/ctrlProp6.xml"/><Relationship Id="rId19" Type="http://schemas.openxmlformats.org/officeDocument/2006/relationships/hyperlink" Target="https://produto.mercadolivre.com.br/MLB-4595808644-par-lmpada-farol-h7-12v-55w-philips-original-halogena-_JM" TargetMode="External"/><Relationship Id="rId14" Type="http://schemas.openxmlformats.org/officeDocument/2006/relationships/hyperlink" Target="http://produto.mercadolivre.com.br/MLB-3666107331-capa-cmbio-de-marcha-moletom-com-capuz-preto-e-vermelho-_JM" TargetMode="External"/><Relationship Id="rId30" Type="http://schemas.openxmlformats.org/officeDocument/2006/relationships/hyperlink" Target="https://produto.mercadolivre.com.br/MLB-3689361937-kit-3-caixas-disco-tacografo-semanal-180km-7dias-vdo-_JM" TargetMode="External"/><Relationship Id="rId35" Type="http://schemas.openxmlformats.org/officeDocument/2006/relationships/hyperlink" Target="https://produto.mercadolivre.com.br/MLB-3722434654-lanterna-traseira-p-sprinter-esquerdo-314416516-_JM" TargetMode="External"/><Relationship Id="rId56" Type="http://schemas.openxmlformats.org/officeDocument/2006/relationships/hyperlink" Target="https://produto.mercadolivre.com.br/MLB-4943516640-valvula-de-escape-vs1158-eaton-45-graus-6-pecas-_JM" TargetMode="External"/><Relationship Id="rId77" Type="http://schemas.openxmlformats.org/officeDocument/2006/relationships/hyperlink" Target="https://produto.mercadolivre.com.br/MLB-5301960562-par-bolsa-lateral-porta-caminho-mb-hpn-ln-709-710-cinza-_JM" TargetMode="External"/><Relationship Id="rId100" Type="http://schemas.openxmlformats.org/officeDocument/2006/relationships/hyperlink" Target="https://produto.mercadolivre.com.br/MLB-4256586999-espelho-de-roda-diant-dir-esq-13131513-3024201116-bord-_JM" TargetMode="External"/><Relationship Id="rId105" Type="http://schemas.openxmlformats.org/officeDocument/2006/relationships/hyperlink" Target="https://produto.mercadolivre.com.br/MLB-5857390602-espelho-freio-hidraulico-traseiro-le-mb-111111131116-vinho-_JM" TargetMode="External"/><Relationship Id="rId126" Type="http://schemas.openxmlformats.org/officeDocument/2006/relationships/hyperlink" Target="https://www.mercadolivre.com.br/pino-da-manga-de-eixo-diversas-medidas/up/MLBU3560427758" TargetMode="External"/><Relationship Id="rId147" Type="http://schemas.openxmlformats.org/officeDocument/2006/relationships/hyperlink" Target="https://www.mercadolivre.com.br/eixo-virabrequim-fixo-std-biela-010mm-om364-3640300602/up/MLBU3886794945?pdp_filters=item_id:MLB4595756493" TargetMode="External"/><Relationship Id="rId8" Type="http://schemas.openxmlformats.org/officeDocument/2006/relationships/hyperlink" Target="https://produto.mercadolivre.com.br/MLB-3842676429-tubo-flexivel-freio-dianteiro-ducato-3004628-_JM" TargetMode="External"/><Relationship Id="rId51" Type="http://schemas.openxmlformats.org/officeDocument/2006/relationships/hyperlink" Target="https://produto.mercadolivre.com.br/MLB-4575547698-correia-alternador-da-sprinter-416-516-0049931796-_JM" TargetMode="External"/><Relationship Id="rId72" Type="http://schemas.openxmlformats.org/officeDocument/2006/relationships/hyperlink" Target="https://produto.mercadolivre.com.br/MLB-3958851585-jogo-anel-de-pisto-para-motor-om366la-om366-p-2-cilindros-_JM" TargetMode="External"/><Relationship Id="rId93" Type="http://schemas.openxmlformats.org/officeDocument/2006/relationships/hyperlink" Target="https://produto.mercadolivre.com.br/MLB-5775483352-coroa-e-pinho-7x43-16mm-3853500939-_JM" TargetMode="External"/><Relationship Id="rId98" Type="http://schemas.openxmlformats.org/officeDocument/2006/relationships/hyperlink" Target="https://produto.mercadolivre.com.br/MLB-4256435963-correia-dentada-13x975-mb-1313-1113-_JM" TargetMode="External"/><Relationship Id="rId121" Type="http://schemas.openxmlformats.org/officeDocument/2006/relationships/hyperlink" Target="https://www.mercadolivre.com.br/pino-da-manga-de-eixo-diversas-medidas/up/MLBU3553057717" TargetMode="External"/><Relationship Id="rId142" Type="http://schemas.openxmlformats.org/officeDocument/2006/relationships/hyperlink" Target="https://www.mercadolivre.com.br/lanterna-traseira-sprinter-313-mercedes-a0008260756/up/MLBU3666994308" TargetMode="External"/><Relationship Id="rId3" Type="http://schemas.openxmlformats.org/officeDocument/2006/relationships/hyperlink" Target="https://produto.mercadolivre.com.br/MLB-3448189439-filtro-de-combustivel-500ml-bosch-o-par-imperdivel-_JM" TargetMode="External"/><Relationship Id="rId25" Type="http://schemas.openxmlformats.org/officeDocument/2006/relationships/hyperlink" Target="https://produto.mercadolivre.com.br/MLB-3461036295-terminal-direco-l-esquerdo-sprinter-416-516-2020--_JM" TargetMode="External"/><Relationship Id="rId46" Type="http://schemas.openxmlformats.org/officeDocument/2006/relationships/hyperlink" Target="https://produto.mercadolivre.com.br/MLB-3810560993-valvula-de-escape-vs1137-auto-tecnica-60-graus-6-pcs-_JM" TargetMode="External"/><Relationship Id="rId67" Type="http://schemas.openxmlformats.org/officeDocument/2006/relationships/hyperlink" Target="https://produto.mercadolivre.com.br/MLB-5099370216-tirantefreiomao-menor-64-cm-mb-o362o364oh1313-_JM" TargetMode="External"/><Relationship Id="rId116" Type="http://schemas.openxmlformats.org/officeDocument/2006/relationships/hyperlink" Target="https://www.mercadolivre.com.br/pino-da-manga-de-eixo-diversas-medidas/up/MLBU3560427774" TargetMode="External"/><Relationship Id="rId137" Type="http://schemas.openxmlformats.org/officeDocument/2006/relationships/hyperlink" Target="https://www.mercadolivre.com.br/pino-da-manga-de-eixo-diversas-medidas/up/MLBU3560427772" TargetMode="External"/><Relationship Id="rId20" Type="http://schemas.openxmlformats.org/officeDocument/2006/relationships/hyperlink" Target="https://produto.mercadolivre.com.br/MLB-4957073278-farol-sealed-beam-140mm-24v-pradolux-_JM" TargetMode="External"/><Relationship Id="rId41" Type="http://schemas.openxmlformats.org/officeDocument/2006/relationships/hyperlink" Target="https://produto.mercadolivre.com.br/MLB-3797951938-manmetro-presso-turbina-0-a-2kg-c-cabo-_JM" TargetMode="External"/><Relationship Id="rId62" Type="http://schemas.openxmlformats.org/officeDocument/2006/relationships/hyperlink" Target="https://produto.mercadolivre.com.br/MLB-5042079580-correia-dentada-motores-152-dentes-28-8v-eletrnico-_JM" TargetMode="External"/><Relationship Id="rId83" Type="http://schemas.openxmlformats.org/officeDocument/2006/relationships/hyperlink" Target="https://produto.mercadolivre.com.br/MLB-4042242005-par-farol-redondo-12v-24v-leds-80w-ip67-6000k-_JM" TargetMode="External"/><Relationship Id="rId88" Type="http://schemas.openxmlformats.org/officeDocument/2006/relationships/hyperlink" Target="https://produto.mercadolivre.com.br/MLB-4147135099-kit-moldura-lado-esq-lado-dir-grade-mbb-1924-a-1934-_JM" TargetMode="External"/><Relationship Id="rId111" Type="http://schemas.openxmlformats.org/officeDocument/2006/relationships/hyperlink" Target="https://produto.mercadolivre.com.br/MLB-4276017707-espelho-freio-hidraulico-traseiro-ld-mb-1113-vinho-_JM" TargetMode="External"/><Relationship Id="rId132" Type="http://schemas.openxmlformats.org/officeDocument/2006/relationships/hyperlink" Target="https://www.mercadolivre.com.br/pino-da-manga-de-eixo-diversas-medidas/up/MLBU3560427762" TargetMode="External"/><Relationship Id="rId153" Type="http://schemas.openxmlformats.org/officeDocument/2006/relationships/ctrlProp" Target="../ctrlProps/ctrlProp7.xml"/><Relationship Id="rId15" Type="http://schemas.openxmlformats.org/officeDocument/2006/relationships/hyperlink" Target="https://produto.mercadolivre.com.br/MLB-3611174137-sprinter-tubo-de-agua-de-refrigeraco-cdi-mercedes-benz-_JM" TargetMode="External"/><Relationship Id="rId36" Type="http://schemas.openxmlformats.org/officeDocument/2006/relationships/hyperlink" Target="https://produto.mercadolivre.com.br/MLB-3722549122-lanterna-traseira-carroceria-415-515-esquerdo-_JM" TargetMode="External"/><Relationship Id="rId57" Type="http://schemas.openxmlformats.org/officeDocument/2006/relationships/hyperlink" Target="https://produto.mercadolivre.com.br/MLB-4959073826-embreagem-viscosa-1932238-modefer-_JM" TargetMode="External"/><Relationship Id="rId106" Type="http://schemas.openxmlformats.org/officeDocument/2006/relationships/hyperlink" Target="https://www.mercadolivre.com.br/relogio-indicador-de-pressao-de-oleo-turotest-52mm-5bar-12v/up/MLBU1128274450" TargetMode="External"/><Relationship Id="rId127" Type="http://schemas.openxmlformats.org/officeDocument/2006/relationships/hyperlink" Target="https://www.mercadolivre.com.br/pino-da-manga-de-eixo-diversas-medidas/up/MLBU3560430254" TargetMode="External"/><Relationship Id="rId10" Type="http://schemas.openxmlformats.org/officeDocument/2006/relationships/hyperlink" Target="https://produto.mercadolivre.com.br/MLB-4582230258-kit-boia-tanque-mb-sprinter-borracha-da-boia-do-tanque-_JM" TargetMode="External"/><Relationship Id="rId31" Type="http://schemas.openxmlformats.org/officeDocument/2006/relationships/hyperlink" Target="https://produto.mercadolivre.com.br/MLB-3714128911-retentor-tampa-distribuico-om355-3459977747-3449977746-_JM" TargetMode="External"/><Relationship Id="rId52" Type="http://schemas.openxmlformats.org/officeDocument/2006/relationships/hyperlink" Target="https://produto.mercadolivre.com.br/MLB-4651577734-regulador-sprinter-415515-22-diesel-original-valeo-_JM" TargetMode="External"/><Relationship Id="rId73" Type="http://schemas.openxmlformats.org/officeDocument/2006/relationships/hyperlink" Target="https://produto.mercadolivre.com.br/MLB-3877957247-farol-para-ducato-9405-boxer-9704-lado-esquerdo-_JM" TargetMode="External"/><Relationship Id="rId78" Type="http://schemas.openxmlformats.org/officeDocument/2006/relationships/hyperlink" Target="https://produto.mercadolivre.com.br/MLB-3989307807-par-terminal-direco-l-esq-e-dir-sprinter-416-516-2020-_JM" TargetMode="External"/><Relationship Id="rId94" Type="http://schemas.openxmlformats.org/officeDocument/2006/relationships/hyperlink" Target="https://produto.mercadolivre.com.br/MLB-4249882811-trava-antifurto-tanque-combustivel-plastico-rosca-interna-_JM" TargetMode="External"/><Relationship Id="rId99" Type="http://schemas.openxmlformats.org/officeDocument/2006/relationships/hyperlink" Target="https://produto.mercadolivre.com.br/MLB-5812967844-espelho-de-roda-traseiro-direito-3024203217-13131316-vinho-_JM" TargetMode="External"/><Relationship Id="rId101" Type="http://schemas.openxmlformats.org/officeDocument/2006/relationships/hyperlink" Target="https://www.mercadolivre.com.br/espelho-de-roda-traseiro-esquerdo-3024203017/up/MLBU3500908048?pdp_filters=item_id:MLB4258092647" TargetMode="External"/><Relationship Id="rId122" Type="http://schemas.openxmlformats.org/officeDocument/2006/relationships/hyperlink" Target="https://www.mercadolivre.com.br/pino-da-manga-de-eixo-diversas-medidas/up/MLBU3553057723" TargetMode="External"/><Relationship Id="rId143" Type="http://schemas.openxmlformats.org/officeDocument/2006/relationships/hyperlink" Target="https://www.mercadolivre.com.br/radiador-oleo-sprinter-310312-mwm-75053e-0001802565/up/MLBU3667092268?pdp_filters=item_id%3AMLB4353005817&amp;conversao=NaN" TargetMode="External"/><Relationship Id="rId148" Type="http://schemas.openxmlformats.org/officeDocument/2006/relationships/hyperlink" Target="https://www.mercadolivre.com.br/carter-de-oleo-mwm-70830093/up/MLBU3992437246" TargetMode="External"/><Relationship Id="rId4" Type="http://schemas.openxmlformats.org/officeDocument/2006/relationships/hyperlink" Target="https://produto.mercadolivre.com.br/MLB-3622844781-refletor-parachoque-tras-lado-direito-sprinter-415515-_JM" TargetMode="External"/><Relationship Id="rId9" Type="http://schemas.openxmlformats.org/officeDocument/2006/relationships/hyperlink" Target="https://produto.mercadolivre.com.br/MLB-4477807312-tubo-de-retorno-bico-injetor-sprinter-311313-a6110708432-_JM" TargetMode="External"/><Relationship Id="rId26" Type="http://schemas.openxmlformats.org/officeDocument/2006/relationships/hyperlink" Target="https://produto.mercadolivre.com.br/MLB-3624934593-valvula-de-torque-da-turbina-sprinter-312-313-413-0005450527-_JM" TargetMode="External"/><Relationship Id="rId47" Type="http://schemas.openxmlformats.org/officeDocument/2006/relationships/hyperlink" Target="https://produto.mercadolivre.com.br/MLB-3837344933-filtro-ar-ducato-25-28-boxer-25-28-jumper-25-28-_JM" TargetMode="External"/><Relationship Id="rId68" Type="http://schemas.openxmlformats.org/officeDocument/2006/relationships/hyperlink" Target="https://produto.mercadolivre.com.br/MLB-5166668370-pino-manga-eixo-1111-1113-lp321-3590mm-_JM" TargetMode="External"/><Relationship Id="rId89" Type="http://schemas.openxmlformats.org/officeDocument/2006/relationships/hyperlink" Target="https://produto.mercadolivre.com.br/MLB-5702208942-suporte-patim-diant-30-mm-mercedes-l-1313-a-2213-de-70-a-86-_JM?conversao=0.00" TargetMode="External"/><Relationship Id="rId112" Type="http://schemas.openxmlformats.org/officeDocument/2006/relationships/hyperlink" Target="https://www.mercadolivre.com.br/farol-scania-112113-c-aro-termoplastico-pr-f50c/up/MLBU3533730109?pdp_filters=item_id:MLB4288523467" TargetMode="External"/><Relationship Id="rId133" Type="http://schemas.openxmlformats.org/officeDocument/2006/relationships/hyperlink" Target="https://www.mercadolivre.com.br/pino-da-manga-de-eixo-diversas-medidas/up/MLBU3553057715" TargetMode="External"/><Relationship Id="rId154" Type="http://schemas.openxmlformats.org/officeDocument/2006/relationships/table" Target="../tables/table2.xml"/><Relationship Id="rId16" Type="http://schemas.openxmlformats.org/officeDocument/2006/relationships/hyperlink" Target="https://produto.mercadolivre.com.br/MLB-3658567815-lmpada-farol-h7-12v-55w-philips-original-halogena-_JM" TargetMode="External"/><Relationship Id="rId37" Type="http://schemas.openxmlformats.org/officeDocument/2006/relationships/hyperlink" Target="https://produto.mercadolivre.com.br/MLB-3729364675-mecanismo-limpador-para-brisa-sprinter-310311312313cdi-_JM" TargetMode="External"/><Relationship Id="rId58" Type="http://schemas.openxmlformats.org/officeDocument/2006/relationships/hyperlink" Target="https://produto.mercadolivre.com.br/MLB-4980384522-valvula-de-admisso-vs1157-eaton-45-graus-2-pecas-_JM" TargetMode="External"/><Relationship Id="rId79" Type="http://schemas.openxmlformats.org/officeDocument/2006/relationships/hyperlink" Target="https://produto.mercadolivre.com.br/MLB-5308976398-mola-patim-freio-dianteiro-traseiro-245mm-3889937110-_JM" TargetMode="External"/><Relationship Id="rId102" Type="http://schemas.openxmlformats.org/officeDocument/2006/relationships/hyperlink" Target="https://www.mercadolivre.com.br/espelho-de-freio-hidraulico-traseiro-l-direito-mb-1513-1516/up/MLBU3501689860?pdp_filters=item_id:MLB5820696454" TargetMode="External"/><Relationship Id="rId123" Type="http://schemas.openxmlformats.org/officeDocument/2006/relationships/hyperlink" Target="https://www.mercadolivre.com.br/pino-da-manga-de-eixo-diversas-medidas/up/MLBU3560427768" TargetMode="External"/><Relationship Id="rId144" Type="http://schemas.openxmlformats.org/officeDocument/2006/relationships/hyperlink" Target="produto.mercadolivre.com.br/MLB-4411104817-rele-pisca-eletrnico-10-pinos-3505447132-24v-_JM" TargetMode="External"/><Relationship Id="rId90" Type="http://schemas.openxmlformats.org/officeDocument/2006/relationships/hyperlink" Target="https://produto.mercadolivre.com.br/MLB-5572470428-frontal-farol-quadrado-lado-direito-mercedes-agl-1518-1113-_JM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ercadolivre.com.br/vendas/2000008108579542/detalhe?callbackUrl=https%3A%2F%2Fwww.mercadolivre.com.b" TargetMode="External"/><Relationship Id="rId21" Type="http://schemas.openxmlformats.org/officeDocument/2006/relationships/hyperlink" Target="https://www.mercadolivre.com.br/vendas/2000008344539473/detalhe?callbackUrl=https%3A%2F%2Fwww.mercadolivre.com.br%2Fvendas%25" TargetMode="External"/><Relationship Id="rId42" Type="http://schemas.openxmlformats.org/officeDocument/2006/relationships/hyperlink" Target="https://www.mercadolivre.com.br/vendas/2000007202509359/detalhe?callbackUrl=https%3A%2F%2Fwww.mercadolivre.com.br%2Fvendas%2Fomni%2Flista%3Fplatform.id%3DML%26channel%3Dmarketshops%26filters%3D%26sort%3D%26page%3D1%26search%3D2000007202509359%26startPeriod%3D%26toCurrent%3D%26fromCurrent%3D" TargetMode="External"/><Relationship Id="rId63" Type="http://schemas.openxmlformats.org/officeDocument/2006/relationships/hyperlink" Target="https://www.mercadolivre.com.br/vendas/2000009396661658/detalhe?callbackUrl=https%3A%2F%2Fwww.mercadolivre.com.b" TargetMode="External"/><Relationship Id="rId84" Type="http://schemas.openxmlformats.org/officeDocument/2006/relationships/hyperlink" Target="https://www.mercadolivre.com.br/vendas/2000008550094394/detalhe?callbackUrl=https%3A%2F%2Fwww.mercadolivre.com.b" TargetMode="External"/><Relationship Id="rId138" Type="http://schemas.openxmlformats.org/officeDocument/2006/relationships/hyperlink" Target="https://www.mercadolivre.com.br/vendas/2000007734893516/detalhe?callbackUrl=https%3A%2F%2Fwww.mercadolivre.com.br" TargetMode="External"/><Relationship Id="rId159" Type="http://schemas.openxmlformats.org/officeDocument/2006/relationships/hyperlink" Target="https://www.mercadolivre.com.br/vendas/2000009121279041/detalhe?callbackUrl=https%3A%2F%2Fwww.mercadolivre.com.br%2Fvendas%2Fomni%2Flista%3Fplatform.id%3DML%26channel%3Dmarketshops%26filters%3D%26sort%3D%26page%3D1%26search%3D2000009121279041%26startPeriod%3D%26toCurrent%3D%26fromCurrent%3D" TargetMode="External"/><Relationship Id="rId170" Type="http://schemas.openxmlformats.org/officeDocument/2006/relationships/hyperlink" Target="https://www.mercadolivre.com.br/vendas/2000013155803276/documento-fiscal/d45aff49-62f8-49db-868e-c5653268adf4?originalFilename=d45aff49-62f8-49db-868e-c5653268adf4-danfe.pdf" TargetMode="External"/><Relationship Id="rId191" Type="http://schemas.openxmlformats.org/officeDocument/2006/relationships/hyperlink" Target="https://www.mercadolivre.com.br/vendas/2000010060705113/detalhe?callbackUrl=https%3A%2F%2Fwww.mercadolivre.com.br%2Fvendas%2Fomni%2Flista%3Fplatform.id%3DML%26channel%3Dmarketshops%26filters%3D%26sort%3D%26page%3D1%26search%3D%26startPeriod%3D%26toCurrent%3D%26fromCurrent%3D" TargetMode="External"/><Relationship Id="rId205" Type="http://schemas.openxmlformats.org/officeDocument/2006/relationships/hyperlink" Target="https://www.mercadolivre.com.br/vendas/2000011298566801/detalhe?callbackUrl=https%3A%2F%2Fwww.mercadolivre.com.br%2Fvendas%2Fomni%2Flista%3Fplatform.id%3DML%26channel%3Dmarketshops%26filters%3D%26sort%3D%26page%3D1%26search%3D%26startPeriod%3DWITH_DATE_CLOSED_2M_OLD%26toCurrent%3D%26fromCurrent%3D" TargetMode="External"/><Relationship Id="rId226" Type="http://schemas.openxmlformats.org/officeDocument/2006/relationships/hyperlink" Target="https://www.mercadolivre.com.br/vendas/2000011923504169/detalhe?callbackUrl=https%3A%2F%2Fwww.mercadolivre.com.br%2Fvendas%2Fomni%2Flista%3Fplatform.id%3DML%26channel%3Dmarketshops%26filters%3D%26sort%3D%26page%3D1%26search%3D%26startPeriod%3DWITH_DATE_CLOSED_2M_OLD%26toCurrent%3D%26fromCurrent%3D" TargetMode="External"/><Relationship Id="rId107" Type="http://schemas.openxmlformats.org/officeDocument/2006/relationships/hyperlink" Target="https://www.mercadolivre.com.br/vendas/2000008252520318/detalhe?callbackUrl=https%3A%2F%2Fwww.mercadolivre.com.b" TargetMode="External"/><Relationship Id="rId11" Type="http://schemas.openxmlformats.org/officeDocument/2006/relationships/hyperlink" Target="https://www.mercadolivre.com.br/vendas/2000012020985942/documento-fiscal/87b6306d-31d2-4eaf-b9b4-6c08b9c8e3b5?originalFilename=87b6306d-31d2-4eaf-b9b4-6c08b9c8e3b5-danfe.pdf" TargetMode="External"/><Relationship Id="rId32" Type="http://schemas.openxmlformats.org/officeDocument/2006/relationships/hyperlink" Target="https://www.mercadolivre.com.br/vendas/2000011180230350/detalhe?callbackUrl=https%3A%2F%2Fwww.mercadolivre.com.br%2Fvendas%2Fomni%2Flista%3Fplatform.id%3DML%26channel%3Dmarketshops%26filters%3D%26sort%3D%26page%3D1%26search%3D2000011180230350%26startPeriod%3D%26toCurrent%3D%26fromCurrent%3D" TargetMode="External"/><Relationship Id="rId53" Type="http://schemas.openxmlformats.org/officeDocument/2006/relationships/hyperlink" Target="https://www.mercadolivre.com.br/vendas/2000010577079472/documento-fiscal/88c733b7-994e-441f-80f2-aa0af4baa0c6?originalFilename=88c733b7-994e-441f-80f2-aa0af4baa0c6-danfe.pdf" TargetMode="External"/><Relationship Id="rId74" Type="http://schemas.openxmlformats.org/officeDocument/2006/relationships/hyperlink" Target="https://www.mercadolivre.com.br/vendas/2000008726201806/detalhe?callbackUrl=https%3A%2F%2Fwww.mercadolivre.com.b" TargetMode="External"/><Relationship Id="rId128" Type="http://schemas.openxmlformats.org/officeDocument/2006/relationships/hyperlink" Target="https://www.mercadolivre.com.br/vendas/2000005592056833/detalhe?callbackUrl=https%3A%2F%2Fwww.mercadolivre.com.br" TargetMode="External"/><Relationship Id="rId149" Type="http://schemas.openxmlformats.org/officeDocument/2006/relationships/hyperlink" Target="https://www.mercadolivre.com.br/vendas/2000012587825150/documento-fiscal/e9406c39-ba0f-49b6-b164-112ccdd1e323?originalFilename=e9406c39-ba0f-49b6-b164-112ccdd1e323-danfe.pdf" TargetMode="External"/><Relationship Id="rId5" Type="http://schemas.openxmlformats.org/officeDocument/2006/relationships/hyperlink" Target="https://www.mercadolivre.com.br/vendas/2000008191073958/documento-fiscal/3e04b622-f138-494c-be3b-8577f16148ca?originalFilename=3e04b622-f138-494c-be3b-8577f16148ca-danfe.pdf" TargetMode="External"/><Relationship Id="rId95" Type="http://schemas.openxmlformats.org/officeDocument/2006/relationships/hyperlink" Target="https://www.mercadolivre.com.br/vendas/2000005814153663/detalhe?callbackUrl=https%3A%2F%2Fwww.mercadolivre.com.b" TargetMode="External"/><Relationship Id="rId160" Type="http://schemas.openxmlformats.org/officeDocument/2006/relationships/hyperlink" Target="https://www.mercadolivre.com.br/vendas/2000012977148246/detalhe?callbackUrl=https%3A%2F%2Fwww.mercadolivre.com.br%2Fvendas%2Fomni%2Flista%3Fplatform.id%3DML%26channel%3Dmarketshops%26filters%3D%26sort%3D%26page%3D1%26search%3D2000012977148246%26startPeriod%3D%26toCurrent%3D%26fromCurrent%3D" TargetMode="External"/><Relationship Id="rId181" Type="http://schemas.openxmlformats.org/officeDocument/2006/relationships/hyperlink" Target="https://www.mercadolivre.com.br/vendas/2000009572621869/detalhe?callbackUrl=https%3A%2F%2Fwww.mercadolivre.com.br%2Fvendas%2Fomni%2Flista%3Fplatform.id%3DML%26channel%3Dmarketshops%26filters%3D%26sort%3D%26page%3D1%26search%3D%26startPeriod%3D%26toCurrent%3D%26fromCurrent%3D" TargetMode="External"/><Relationship Id="rId216" Type="http://schemas.openxmlformats.org/officeDocument/2006/relationships/hyperlink" Target="https://www.mercadolivre.com.br/emissor/vendas/2000014715617808/faturas?source=ml" TargetMode="External"/><Relationship Id="rId22" Type="http://schemas.openxmlformats.org/officeDocument/2006/relationships/hyperlink" Target="https://www.mercadolivre.com.br/vendas/2000012020985942/detalhe?callbackUrl=https%3A%2F%2Fwww.mercadolivre.com.br%2Fvendas%2Fomni%2Flista%3Fplatform.id%3D" TargetMode="External"/><Relationship Id="rId43" Type="http://schemas.openxmlformats.org/officeDocument/2006/relationships/hyperlink" Target="https://www.mercadolivre.com.br/vendas/2000010749721050/detalhe?callbackUrl=https%3A%2F%2Fwww.mercadolivre.com.br%2Fvendas%2Fomni%2Flista%3Fplatform.id%3DML%26channel%3Dmarketshops%26filters%3D%26sort%3D%26page%3D1%26search%3D2000010749721050%26startPeriod%3D%26toCurrent%3D%26fromCurrent%3D" TargetMode="External"/><Relationship Id="rId64" Type="http://schemas.openxmlformats.org/officeDocument/2006/relationships/hyperlink" Target="https://www.mercadolivre.com.br/vendas/2000009371726374/detalhe?callbackUrl=https%3A%2F%2Fwww.mercadolivre.com.b" TargetMode="External"/><Relationship Id="rId118" Type="http://schemas.openxmlformats.org/officeDocument/2006/relationships/hyperlink" Target="https://www.mercadolivre.com.br/vendas/2000008081925458/detalhe?callbackUrl=https%3A%2F%2Fwww.mercadolivre.com.b" TargetMode="External"/><Relationship Id="rId139" Type="http://schemas.openxmlformats.org/officeDocument/2006/relationships/hyperlink" Target="https://www.mercadolivre.com.br/vendas/2000007757480402/detalhe?callbackUrl=https%3A%2F%2Fwww.mercadolivre.com.br" TargetMode="External"/><Relationship Id="rId85" Type="http://schemas.openxmlformats.org/officeDocument/2006/relationships/hyperlink" Target="https://www.mercadolivre.com.br/vendas/2000008539996152/detalhe?callbackUrl=https%3A%2F%2Fwww.mercadolivre.com.b" TargetMode="External"/><Relationship Id="rId150" Type="http://schemas.openxmlformats.org/officeDocument/2006/relationships/hyperlink" Target="https://www.mercadolivre.com.br/vendas/2000012637483864/documento-fiscal/7061fab7-6c2f-44b4-9a42-fcca2a41395d?originalFilename=7061fab7-6c2f-44b4-9a42-fcca2a41395d-danfe.pdf" TargetMode="External"/><Relationship Id="rId171" Type="http://schemas.openxmlformats.org/officeDocument/2006/relationships/hyperlink" Target="https://www.mercadolivre.com.br/vendas/2000012997277984/documento-fiscal/737ff5b7-367c-4e3a-96c0-984241d0e9e7?originalFilename=737ff5b7-367c-4e3a-96c0-984241d0e9e7-danfe.pdf" TargetMode="External"/><Relationship Id="rId192" Type="http://schemas.openxmlformats.org/officeDocument/2006/relationships/hyperlink" Target="https://www.mercadolivre.com.br/vendas/2000010070741173/detalhe?callbackUrl=https%3A%2F%2Fwww.mercadolivre.com.br%2Fvendas%2Fomni%2Flista%3Fplatform.id%3DML%26channel%3Dmarketshops%26filters%3D%26sort%3D%26page%3D1%26search%3D%26startPeriod%3D%26toCurrent%3D%26fromCurrent%3D" TargetMode="External"/><Relationship Id="rId206" Type="http://schemas.openxmlformats.org/officeDocument/2006/relationships/hyperlink" Target="https://www.mercadolivre.com.br/vendas/2000011389271763/detalhe?callbackUrl=https%3A%2F%2Fwww.mercadolivre.com.br%2Fvendas%2Fomni%2Flista%3Fplatform.id%3DML%26channel%3Dmarketshops%26filters%3D%26sort%3D%26page%3D1%26search%3D%26startPeriod%3DWITH_DATE_CLOSED_2M_OLD%26toCurrent%3D%26fromCurrent%3D" TargetMode="External"/><Relationship Id="rId227" Type="http://schemas.openxmlformats.org/officeDocument/2006/relationships/hyperlink" Target="https://myaccount.mercadolivre.com.br/invoices/order/2000015454713474" TargetMode="External"/><Relationship Id="rId12" Type="http://schemas.openxmlformats.org/officeDocument/2006/relationships/hyperlink" Target="https://www.mercadolivre.com.br/vendas/2000012158086240/documento-fiscal/5515d631-8844-4c46-b340-c33468f578d9?originalFilename=5515d631-8844-4c46-b340-c33468f578d9-danfe.pdf" TargetMode="External"/><Relationship Id="rId33" Type="http://schemas.openxmlformats.org/officeDocument/2006/relationships/hyperlink" Target="https://www.mercadolivre.com.br/vendas/2000007416258225/detalhe?callbackUrl=https%3A%2F%2Fwww.mercadolivre.com.br%2Fvendas%2Fomni%2Flista%3Fplatform.id%3DML%26channel%3Dmarketshops%26filters%3D%26sort%3D%26page%3D1%26search%3D2000007416258225%26startPeriod%3D%26toCurrent%3D%26fromCurrent%3D" TargetMode="External"/><Relationship Id="rId108" Type="http://schemas.openxmlformats.org/officeDocument/2006/relationships/hyperlink" Target="https://www.mercadolivre.com.br/vendas/2000008202510904/detalhe?callbackUrl=https%3A%2F%2Fwww.mercadolivre.com.b" TargetMode="External"/><Relationship Id="rId129" Type="http://schemas.openxmlformats.org/officeDocument/2006/relationships/hyperlink" Target="https://www.mercadolivre.com.br/vendas/2000007911198618/detalhe?callbackUrl=https%3A%2F%2Fwww.mercadolivre.com.br" TargetMode="External"/><Relationship Id="rId54" Type="http://schemas.openxmlformats.org/officeDocument/2006/relationships/hyperlink" Target="https://www.mercadolivre.com.br/vendas/2000010400479034/detalhe?callbackUrl=https%3A%2F%2Fwww.mercadolivre.com.b" TargetMode="External"/><Relationship Id="rId75" Type="http://schemas.openxmlformats.org/officeDocument/2006/relationships/hyperlink" Target="https://www.mercadolivre.com.br/vendas/2000008721262932/detalhe?callbackUrl=https%3A%2F%2Fwww.mercadolivre.com.b" TargetMode="External"/><Relationship Id="rId96" Type="http://schemas.openxmlformats.org/officeDocument/2006/relationships/hyperlink" Target="https://www.mercadolivre.com.br/vendas/2000005814979705/detalhe?callbackUrl=https%3A%2F%2Fwww.mercadolivre.com.b" TargetMode="External"/><Relationship Id="rId140" Type="http://schemas.openxmlformats.org/officeDocument/2006/relationships/hyperlink" Target="https://www.mercadolivre.com.br/vendas/2000005475263313/detalhe?callbackUrl=https%3A%2F%2Fwww.mercadolivre.com.br" TargetMode="External"/><Relationship Id="rId161" Type="http://schemas.openxmlformats.org/officeDocument/2006/relationships/hyperlink" Target="https://www.mercadolivre.com.br/vendas/2000012997277984/detalhe?callbackUrl=https%3A%2F%2Fwww.mercadolivre.com.br%2Fvendas%2Fomni%2Flista%3Fplatform.id%3DML%26channel%3Dmarketshops%26filters%3D%26sort%3D%26page%3D1%26search%3D2000012997277984%26startPeriod%3D%26toCurrent%3D%26fromCurrent%3D" TargetMode="External"/><Relationship Id="rId182" Type="http://schemas.openxmlformats.org/officeDocument/2006/relationships/hyperlink" Target="https://www.mercadolivre.com.br/vendas/2000013559809582/detalhe?callbackUrl=https%3A%2F%2Fwww.mercadolivre.com.br%2Fvendas%2Fomni%2Flista%3Fplatform.id%3DML%26channel%3Dmarketshops%26filters%3DTAB_TODAY%26sort%3D%26page%3D1%26search%3D%26startPeriod%3D%26toCurrent%3D%26fromCurrent%3D" TargetMode="External"/><Relationship Id="rId217" Type="http://schemas.openxmlformats.org/officeDocument/2006/relationships/hyperlink" Target="https://www.mercadolivre.com.br/emissor/vendas/2000014715617808/faturas?source=ml" TargetMode="External"/><Relationship Id="rId6" Type="http://schemas.openxmlformats.org/officeDocument/2006/relationships/hyperlink" Target="https://www.mercadolivre.com.br/vendas/2000008252520318/documento-fiscal/fd372b96-8a88-4b39-9053-2b92bfc3cb60?originalFilename=fd372b96-8a88-4b39-9053-2b92bfc3cb60-danfe.pdf" TargetMode="External"/><Relationship Id="rId23" Type="http://schemas.openxmlformats.org/officeDocument/2006/relationships/hyperlink" Target="https://www.mercadolivre.com.br/vendas/2000011929269162/detalhe?callback" TargetMode="External"/><Relationship Id="rId119" Type="http://schemas.openxmlformats.org/officeDocument/2006/relationships/hyperlink" Target="https://www.mercadolivre.com.br/vendas/2000008071751848/detalhe?callbackUrl=https%3A%2F%2Fwww.mercadolivre.com.b" TargetMode="External"/><Relationship Id="rId44" Type="http://schemas.openxmlformats.org/officeDocument/2006/relationships/hyperlink" Target="https://www.mercadolivre.com.br/vendas/2000007178572815/detalhe?callbackUrl=https%3A%2F%2Fwww.mercadolivre.com.br%2Fvendas%2Fomni%2Flista%3Fplatform.id%3DML%26channel%3Dmarketshops%26filters%3D%26sort%3D%26page%3D1%26search%3D2000007178572815%26startPeriod%3D%26toCurrent%3D%26fromCurrent%3D" TargetMode="External"/><Relationship Id="rId65" Type="http://schemas.openxmlformats.org/officeDocument/2006/relationships/hyperlink" Target="https://www.mercadolivre.com.br/vendas/2000009346773970/detalhe?callbackUrl=https%3A%2F%2Fwww.mercadolivre.com.b" TargetMode="External"/><Relationship Id="rId86" Type="http://schemas.openxmlformats.org/officeDocument/2006/relationships/hyperlink" Target="https://www.mercadolivre.com.br/vendas/2000005897447141/detalhe?callbackUrl=https%3A%2F%2Fwww.mercadolivre.com.b" TargetMode="External"/><Relationship Id="rId130" Type="http://schemas.openxmlformats.org/officeDocument/2006/relationships/hyperlink" Target="https://www.mercadolivre.com.br/vendas/2000007912183614/detalhe?callbackUrl=https%3A%2F%2Fwww.mercadolivre.com.br" TargetMode="External"/><Relationship Id="rId151" Type="http://schemas.openxmlformats.org/officeDocument/2006/relationships/hyperlink" Target="https://www.mercadolivre.com.br/vendas/2000008966611567/detalhe?callbackUrl=https%3A%2F%2Fwww.mercadolivre.com.br%2Fvendas%2Fomni%2Flista%3Fplatform.id%3DML%26channel%3Dmarketshops%26filters%3D%26sort%3D%26page%3D1%26search%3D%26startPeriod%3D%26toCurrent%3D%26fromCurrent%3D" TargetMode="External"/><Relationship Id="rId172" Type="http://schemas.openxmlformats.org/officeDocument/2006/relationships/hyperlink" Target="https://www.mercadolivre.com.br/vendas/2000013056181014/documento-fiscal/156e4de0-57fe-4fdb-985a-b62fd2cc52f0?originalFilename=156e4de0-57fe-4fdb-985a-b62fd2cc52f0-danfe.pdf" TargetMode="External"/><Relationship Id="rId193" Type="http://schemas.openxmlformats.org/officeDocument/2006/relationships/hyperlink" Target="https://www.mercadolivre.com.br/vendas/2000010082239281/detalhe?callbackUrl=https%3A%2F%2Fwww.mercadolivre.com.br%2Fvendas%2Fomni%2Flista%3Fplatform.id%3DML%26channel%3Dmarketshops%26filters%3D%26sort%3D%26page%3D1%26search%3D%26startPeriod%3D%26toCurrent%3D%26fromCurrent%3D" TargetMode="External"/><Relationship Id="rId207" Type="http://schemas.openxmlformats.org/officeDocument/2006/relationships/hyperlink" Target="https://www.mercadolivre.com.br/vendas/2000011435414249/detalhe?callbackUrl=https%3A%2F%2Fwww.mercadolivre.com.br%2Fvendas%2Fomni%2Flista%3Fplatform.id%3DML%26channel%3Dmarketshops%26filters%3D%26sort%3D%26page%3D1%26search%3D%26startPeriod%3DWITH_DATE_CLOSED_2M_OLD%26toCurrent%3D%26fromCurrent%3D" TargetMode="External"/><Relationship Id="rId228" Type="http://schemas.openxmlformats.org/officeDocument/2006/relationships/hyperlink" Target="https://www.mercadolivre.com.br/vendas/2000011981958333/detalhe?callbackUrl=https%3A%2F%2Fwww.mercadolivre.com.br%2Fvendas%2Fomni%2Flista" TargetMode="External"/><Relationship Id="rId13" Type="http://schemas.openxmlformats.org/officeDocument/2006/relationships/hyperlink" Target="https://www.mercadolivre.com.br/vendas/2000012228946746/documento-fiscal/dd83d048-13ab-4005-9a5c-f56fcc8c4f25?originalFilename=dd83d048-13ab-4005-9a5c-f56fcc8c4f25-danfe.pdf" TargetMode="External"/><Relationship Id="rId109" Type="http://schemas.openxmlformats.org/officeDocument/2006/relationships/hyperlink" Target="https://www.mercadolivre.com.br/vendas/2000008209175020/detalhe?callbackUrl=https%3A%2F%2Fwww.mercadolivre.com.b" TargetMode="External"/><Relationship Id="rId34" Type="http://schemas.openxmlformats.org/officeDocument/2006/relationships/hyperlink" Target="https://www.mercadolivre.com.br/vendas/2000011062941566/detalhe?callbackUrl=https%3A%2F%2Fwww.mercadolivre.com.br%2Fvendas%2Fomni%2Flista%3Fplatform.id%3DML%26channel%3Dmarketshops%26filters%3D%26sort%3D%26page%3D1%26search%3D2000011062941566%26startPeriod%3D%26toCurrent%3D%26fromCurrent%3D" TargetMode="External"/><Relationship Id="rId55" Type="http://schemas.openxmlformats.org/officeDocument/2006/relationships/hyperlink" Target="https://www.mercadolivre.com.br/vendas/2000010404120196/detalhe?callbackUrl=https%3A%2F%2Fwww.mercadolivre.com.b" TargetMode="External"/><Relationship Id="rId76" Type="http://schemas.openxmlformats.org/officeDocument/2006/relationships/hyperlink" Target="https://www.mercadolivre.com.br/vendas/2000008604210706/detalhe?callbackUrl=https%3A%2F%2Fwww.mercadolivre.com.b" TargetMode="External"/><Relationship Id="rId97" Type="http://schemas.openxmlformats.org/officeDocument/2006/relationships/hyperlink" Target="https://www.mercadolivre.com.br/vendas/2000008361033692/detalhe?callbackUrl=https%3A%2F%2Fwww.mercadolivre.com.b" TargetMode="External"/><Relationship Id="rId120" Type="http://schemas.openxmlformats.org/officeDocument/2006/relationships/hyperlink" Target="https://www.mercadolivre.com.br/vendas/2000008074324736/detalhe?callbackUrl=https%3A%2F%2Fwww.mercadolivre.com.b" TargetMode="External"/><Relationship Id="rId141" Type="http://schemas.openxmlformats.org/officeDocument/2006/relationships/hyperlink" Target="https://www.mercadolivre.com.br/vendas/2000007673691066/detalhe?callbackUrl=https%3A%2F%2Fwww.mercadolivre.com.br" TargetMode="External"/><Relationship Id="rId7" Type="http://schemas.openxmlformats.org/officeDocument/2006/relationships/hyperlink" Target="https://www.mercadolivre.com.br/vendas/2000008721262932/documento-fiscal/0a76fbfb-3605-4d7f-b770-3b7ad4a38a2f?originalFilename=0a76fbfb-3605-4d7f-b770-3b7ad4a38a2f-danfe.pdf" TargetMode="External"/><Relationship Id="rId162" Type="http://schemas.openxmlformats.org/officeDocument/2006/relationships/hyperlink" Target="https://www.mercadolivre.com.br/vendas/2000013056181014/detalhe?callbackUrl=https%3A%2F%2Fwww.mercadolivre.com.br%2Fvendas%2Fomni%2Flista%3Fplatform.id%3DML%26channel%3Dmarketshops%26filters%3D%26sort%3D%26page%3D1%26search%3D2000013056181014%26startPeriod%3D%26toCurrent%3D%26fromCurrent%3D" TargetMode="External"/><Relationship Id="rId183" Type="http://schemas.openxmlformats.org/officeDocument/2006/relationships/hyperlink" Target="https://www.mercadolivre.com.br/emissor/omni/api/invoices-download/sale/2000013086927462/pdf?view=true" TargetMode="External"/><Relationship Id="rId218" Type="http://schemas.openxmlformats.org/officeDocument/2006/relationships/hyperlink" Target="https://www.mercadolivre.com.br/emissor/vendas/2000014474686338/faturas?source=ml" TargetMode="External"/><Relationship Id="rId24" Type="http://schemas.openxmlformats.org/officeDocument/2006/relationships/hyperlink" Target="https://www.mercadolivre.com.br/vendas/2000008027192943/detalhe?callbackUrl=https%3A%2F%2Fwww.mercadolivre.com.br%2Fvendas%2Fomni%2Flista%3Fplatform.id%3DML%26channel%3Dmarketshops%26filters%3D%26sort%3D%26page%3D1%26search%3D2000008027192943%26startPeriod%3D%26toCurrent%3D%26fromCurrent%3D" TargetMode="External"/><Relationship Id="rId45" Type="http://schemas.openxmlformats.org/officeDocument/2006/relationships/hyperlink" Target="https://www.mercadolivre.com.br/vendas/2000010644313686/detalhe?callbackUrl=https%3A%2F%2Fwww.mercadolivre.com.br%2Fvendas%2Fomni%2Flista%3Fplatform.id%3DML%26channel%3Dmarketshops%26filters%3D%26sort%3D%26page%3D1%26search%3D2000010644313686%26startPeriod%3D%26toCurrent%3D%26fromCurrent%3D" TargetMode="External"/><Relationship Id="rId66" Type="http://schemas.openxmlformats.org/officeDocument/2006/relationships/hyperlink" Target="https://www.mercadolivre.com.br/vendas/2000009319667764/detalhe?callbackUrl=https%3A%2F%2Fwww.mercadolivre.com.b" TargetMode="External"/><Relationship Id="rId87" Type="http://schemas.openxmlformats.org/officeDocument/2006/relationships/hyperlink" Target="https://www.mercadolivre.com.br/vendas/2000008525701796/detalhe?callbackUrl=https%3A%2F%2Fwww.mercadolivre.com.b" TargetMode="External"/><Relationship Id="rId110" Type="http://schemas.openxmlformats.org/officeDocument/2006/relationships/hyperlink" Target="https://www.mercadolivre.com.br/vendas/2000008209182618/detalhe?callbackUrl=https%3A%2F%2Fwww.mercadolivre.com.b" TargetMode="External"/><Relationship Id="rId131" Type="http://schemas.openxmlformats.org/officeDocument/2006/relationships/hyperlink" Target="https://www.mercadolivre.com.br/vendas/2000007917660844/detalhe?callbackUrl=https%3A%2F%2Fwww.mercadolivre.com.br" TargetMode="External"/><Relationship Id="rId152" Type="http://schemas.openxmlformats.org/officeDocument/2006/relationships/hyperlink" Target="https://www.mercadolivre.com.br/vendas/2000008966611567/documento-fiscal/f7dbe7d2-f534-444c-b44a-6579f7296e99?originalFilename=f7dbe7d2-f534-444c-b44a-6579f7296e99-danfe.pdf" TargetMode="External"/><Relationship Id="rId173" Type="http://schemas.openxmlformats.org/officeDocument/2006/relationships/hyperlink" Target="https://www.mercadolivre.com.br/vendas/2000009240799579/documento-fiscal/2c804932-b8dd-4934-87a5-d11b6983555c?originalFilename=2c804932-b8dd-4934-87a5-d11b6983555c-danfe.pdf" TargetMode="External"/><Relationship Id="rId194" Type="http://schemas.openxmlformats.org/officeDocument/2006/relationships/hyperlink" Target="https://www.mercadolivre.com.br/vendas/2000010083181401/detalhe?callbackUrl=https%3A%2F%2Fwww.mercadolivre.com.br%2Fvendas%2Fomni%2Flista%3Fplatform.id%3DML%26channel%3Dmarketshops%26filters%3D%26sort%3D%26page%3D1%26search%3D%26startPeriod%3D%26toCurrent%3D%26fromCurrent%3D" TargetMode="External"/><Relationship Id="rId208" Type="http://schemas.openxmlformats.org/officeDocument/2006/relationships/hyperlink" Target="https://www.mercadolivre.com.br/vendas/2000011515564829/detalhe?callbackUrl=https%3A%2F%2Fwww.mercadolivre.com.br%2Fvendas%2Fomni%2Flista%3Fplatform.id%3DML%26channel%3Dmarketshops%26filters%3D%26sort%3D%26page%3D1%26search%3D%26startPeriod%3DWITH_DATE_CLOSED_2M_OLD%26toCurrent%3D%26fromCurrent%3D" TargetMode="External"/><Relationship Id="rId229" Type="http://schemas.openxmlformats.org/officeDocument/2006/relationships/hyperlink" Target="https://www.mercadolivre.com.br/vendas/2000012040463909/detalhe?callbackUrl=https%3A%2F%2Fwww.mercadolivre.com.br%2Fvendas%2Fomni%2Flista%3Fplatform.id%3DML%26channel%3Dmarketshops%26filters%3D%26sort%3D%26page%3D1%26search%3D%26startPeriod%3DWITH_DATE_CLOSED_2M_OLD%26toCurrent%3D%26fromCurrent%3D" TargetMode="External"/><Relationship Id="rId14" Type="http://schemas.openxmlformats.org/officeDocument/2006/relationships/hyperlink" Target="https://www.mercadolivre.com.br/vendas/2000007922671053/documento-fiscal/85ecfba2-9488-4cb6-975c-a88b59a36926?originalFilename=85ecfba2-9488-4cb6-975c-a88b59a36926-danfe.pdf" TargetMode="External"/><Relationship Id="rId35" Type="http://schemas.openxmlformats.org/officeDocument/2006/relationships/hyperlink" Target="https://www.mercadolivre.com.br/vendas/2000007389341663/detalhe?callbackUrl=https%3A%2F%2Fwww.mercadolivre.com.br%2Fvendas%2Fomni%2Flista%3Fplatform.id%3DML%26channel%3Dmarketshops%26filters%3D%26sort%3D%26page%3D1%26search%3D2000007389341663%26startPeriod%3D%26toCurrent%3D%26fromCurrent%3D" TargetMode="External"/><Relationship Id="rId56" Type="http://schemas.openxmlformats.org/officeDocument/2006/relationships/hyperlink" Target="https://www.mercadolivre.com.br/vendas/2000010095910860/detalhe?callbackUrl=https%3A%2F%2Fwww.mercadolivre.com.b" TargetMode="External"/><Relationship Id="rId77" Type="http://schemas.openxmlformats.org/officeDocument/2006/relationships/hyperlink" Target="https://www.mercadolivre.com.br/vendas/2000008591358788/detalhe?callbackUrl=https%3A%2F%2Fwww.mercadolivre.com.b" TargetMode="External"/><Relationship Id="rId100" Type="http://schemas.openxmlformats.org/officeDocument/2006/relationships/hyperlink" Target="https://www.mercadolivre.com.br/vendas/2000008380087402/detalhe?callbackUrl=https%3A%2F%2Fwww.mercadolivre.com.b" TargetMode="External"/><Relationship Id="rId8" Type="http://schemas.openxmlformats.org/officeDocument/2006/relationships/hyperlink" Target="https://www.mercadolivre.com.br/vendas/2000008726201806/documento-fiscal/61e5766e-0475-4aca-ac52-afdde44c5f1c?originalFilename=61e5766e-0475-4aca-ac52-afdde44c5f1c-danfe.pdf" TargetMode="External"/><Relationship Id="rId98" Type="http://schemas.openxmlformats.org/officeDocument/2006/relationships/hyperlink" Target="https://www.mercadolivre.com.br/vendas/2000008354909482/detalhe?callbackUrl=https%3A%2F%2Fwww.mercadolivre.com.b" TargetMode="External"/><Relationship Id="rId121" Type="http://schemas.openxmlformats.org/officeDocument/2006/relationships/hyperlink" Target="https://www.mercadolivre.com.br/vendas/2000008074590012/detalhe?callbackUrl=https%3A%2F%2Fwww.mercadolivre.com.b" TargetMode="External"/><Relationship Id="rId142" Type="http://schemas.openxmlformats.org/officeDocument/2006/relationships/hyperlink" Target="https://www.mercadolivre.com.br/vendas/2000007647551322/detalhe?callbackUrl=https%3A%2F%2Fwww.mercadolivre.com.br" TargetMode="External"/><Relationship Id="rId163" Type="http://schemas.openxmlformats.org/officeDocument/2006/relationships/hyperlink" Target="https://www.mercadolivre.com.br/vendas/2000008886588279/documento-fiscal/e5d3c7da-31c7-41c7-8b4f-f67fb90714f8?originalFilename=e5d3c7da-31c7-41c7-8b4f-f67fb90714f8-danfe.pdf" TargetMode="External"/><Relationship Id="rId184" Type="http://schemas.openxmlformats.org/officeDocument/2006/relationships/hyperlink" Target="https://www.mercadolivre.com.br/vendas/2000009464991857/detalhe?callbackUrl=https%3A%2F%2Fwww.mercadolivre.com.br%2Fvendas%2Fomni%2Flista%3Fplatform.id%3DML%26channel%3Dmarketshops%26filters%3D%26sort%3D%26page%3D1%26search%3D2000009464991857%26startPeriod%3D%26toCurrent%3D%26fromCurrent%3D" TargetMode="External"/><Relationship Id="rId219" Type="http://schemas.openxmlformats.org/officeDocument/2006/relationships/hyperlink" Target="https://www.mercadolivre.com.br/emissor/vendas/2000014419305368/faturas?source=ml" TargetMode="External"/><Relationship Id="rId230" Type="http://schemas.openxmlformats.org/officeDocument/2006/relationships/printerSettings" Target="../printerSettings/printerSettings4.bin"/><Relationship Id="rId25" Type="http://schemas.openxmlformats.org/officeDocument/2006/relationships/hyperlink" Target="https://www.mercadolivre.com.br/vendas/2000007922671053/detalhe?callbackUrl=https%3A%2F%2Fwww.mercad" TargetMode="External"/><Relationship Id="rId46" Type="http://schemas.openxmlformats.org/officeDocument/2006/relationships/hyperlink" Target="https://www.mercadolivre.com.br/vendas/2000010618385150/detalhe?callbackUrl=https%3A%2F%2Fwww.mercadolivre.com.br%2Fvendas%2Fomni%2Flista%3Fplatform.id%3DML%26channel%3Dmarketshops%26filters%3D%26sort%3D%26page%3D1%26search%3D2000010618385150%26startPeriod%3D%26toCurrent%3D%26fromCurrent%3D" TargetMode="External"/><Relationship Id="rId67" Type="http://schemas.openxmlformats.org/officeDocument/2006/relationships/hyperlink" Target="https://www.mercadolivre.com.br/vendas/2000009310520362/detalhe?callbackUrl=https%3A%2F%2Fwww.mercadolivre.com.b" TargetMode="External"/><Relationship Id="rId20" Type="http://schemas.openxmlformats.org/officeDocument/2006/relationships/hyperlink" Target="https://www.mercadolivre.com.br/vendas/2000012147230678/detalhe?callbackUr" TargetMode="External"/><Relationship Id="rId41" Type="http://schemas.openxmlformats.org/officeDocument/2006/relationships/hyperlink" Target="https://www.mercadolivre.com.br/vendas/2000010808305594/detalhe?callbackUrl=https%3A%2F%2Fwww.mercadolivre.com.br%2Fvendas%2Fomni%2Flista%3Fplatform.id%3DML%26channel%3Dma" TargetMode="External"/><Relationship Id="rId62" Type="http://schemas.openxmlformats.org/officeDocument/2006/relationships/hyperlink" Target="https://www.mercadolivre.com.br/vendas/2000009396380760/detalhe?callbackUrl=https%3A%2F%2Fwww.mercadolivre.com.b" TargetMode="External"/><Relationship Id="rId83" Type="http://schemas.openxmlformats.org/officeDocument/2006/relationships/hyperlink" Target="https://www.mercadolivre.com.br/vendas/2000008557804052/detalhe?callbackUrl=https%3A%2F%2Fwww.mercadolivre.com.b" TargetMode="External"/><Relationship Id="rId88" Type="http://schemas.openxmlformats.org/officeDocument/2006/relationships/hyperlink" Target="https://www.mercadolivre.com.br/vendas/2000008516797732/detalhe?callbackUrl=https%3A%2F%2Fwww.mercadolivre.com.b" TargetMode="External"/><Relationship Id="rId111" Type="http://schemas.openxmlformats.org/officeDocument/2006/relationships/hyperlink" Target="https://www.mercadolivre.com.br/vendas/2000008202487664/detalhe?callbackUrl=https%3A%2F%2Fwww.mercadolivre.com.b" TargetMode="External"/><Relationship Id="rId132" Type="http://schemas.openxmlformats.org/officeDocument/2006/relationships/hyperlink" Target="https://www.mercadolivre.com.br/vendas/2000005567921085/detalhe?callbackUrl=https%3A%2F%2Fwww.mercadolivre.com.br" TargetMode="External"/><Relationship Id="rId153" Type="http://schemas.openxmlformats.org/officeDocument/2006/relationships/hyperlink" Target="https://www.mercadolivre.com.br/vendas/2000012846140892/documento-fiscal/d5443027-e332-4a05-937c-a91d32c05d02?originalFilename=d5443027-e332-4a05-937c-a91d32c05d02-danfe.pdf" TargetMode="External"/><Relationship Id="rId174" Type="http://schemas.openxmlformats.org/officeDocument/2006/relationships/hyperlink" Target="https://www.mercadolivre.com.br/vendas/2000013213805426/documento-fiscal/035f0b9d-3db3-4143-b6f5-06a4daf0b13e?originalFilename=035f0b9d-3db3-4143-b6f5-06a4daf0b13e-danfe.pdf" TargetMode="External"/><Relationship Id="rId179" Type="http://schemas.openxmlformats.org/officeDocument/2006/relationships/hyperlink" Target="https://www.mercadolivre.com.br/vendas/2000013497839372/detalhe?callbackUrl=https%3A%2F%2Fwww.mercadolivre.com.br%2Fvendas%2Fomni%2Flista%3Fplatform.id%3DML%26channel%3Dmarketshops%26filters%3D%26sort%3D%26page%3D1%26search%3D%26startPeriod%3D%26toCurrent%3D%26fromCurrent%3D" TargetMode="External"/><Relationship Id="rId195" Type="http://schemas.openxmlformats.org/officeDocument/2006/relationships/hyperlink" Target="https://www.mercadolivre.com.br/vendas/2000010086163681/detalhe?callbackUrl=https%3A%2F%2Fwww.mercadolivre.com.br%2Fvendas%2Fomni%2Flista%3Fplatform.id%3DML%26channel%3Dmarketshops%26filters%3D%26sort%3D%26page%3D1%26search%3D%26startPeriod%3D%26toCurrent%3D%26fromCurrent%3D" TargetMode="External"/><Relationship Id="rId209" Type="http://schemas.openxmlformats.org/officeDocument/2006/relationships/hyperlink" Target="myaccount.mercadolivre.com.br/invoices/order/2000015112543862" TargetMode="External"/><Relationship Id="rId190" Type="http://schemas.openxmlformats.org/officeDocument/2006/relationships/hyperlink" Target="https://www.mercadolivre.com.br/vendas/2000010057550541/detalhe?callbackUrl=https%3A%2F%2Fwww.mercadolivre.com.br%2Fvendas%2Fomni%2Flista%3Fplatform.id%3DML%26channel%3Dmarketshops%26filters%3D%26sort%3D%26page%3D1%26search%3D%26startPeriod%3D%26toCurrent%3D%26fromCurrent%3D" TargetMode="External"/><Relationship Id="rId204" Type="http://schemas.openxmlformats.org/officeDocument/2006/relationships/hyperlink" Target="https://www.mercadolivre.com.br/vendas/2000011121331647/detalhe?callbackUrl=https%3A%2F%2Fwww.mercadolivre.com.br%2Fvendas%2Fomni%2Flista%3Fplatform.id%3DML%26channel%3Dmarketshops%26filters%3D%26sort%3D%26page%3D1%26search%3D%26startPeriod%3DWITH_DATE_CLOSED_2M_OLD%26toCurrent%3D%26fromCurrent%3D" TargetMode="External"/><Relationship Id="rId220" Type="http://schemas.openxmlformats.org/officeDocument/2006/relationships/hyperlink" Target="https://www.mercadolivre.com.br/emissor/vendas/2000014210223574/faturas?source=ml" TargetMode="External"/><Relationship Id="rId225" Type="http://schemas.openxmlformats.org/officeDocument/2006/relationships/hyperlink" Target="https://www.mercadolivre.com.br/vendas/2000011838498495/detalhe?callbackUrl=https%3A%2F%2Fwww.mercadolivre.com.br%2Fvendas%2Fomni%2Flista%3Fplatform.id%3DML%26channel%3Dmarketshops%26filters%3D%26sort%3D%26page%3D1%26search%3D%26startPeriod%3DWITH_DATE_CLOSED_2M_OLD%26toCurrent%3D%26fromCurrent%3D" TargetMode="External"/><Relationship Id="rId15" Type="http://schemas.openxmlformats.org/officeDocument/2006/relationships/hyperlink" Target="https://www.mercadolivre.com.br/vendas/2000012411332616/documento-fiscal/875fabb9-5a87-484a-bdfe-d9b9bffc54b2?originalFilename=875fabb9-5a87-484a-bdfe-d9b9bffc54b2-danfe.pdf" TargetMode="External"/><Relationship Id="rId36" Type="http://schemas.openxmlformats.org/officeDocument/2006/relationships/hyperlink" Target="https://www.mercadolivre.com.br/vendas/2000011015268300/detalhe?callbackUrl=https%3A%2F%2Fwww.mercadolivre.com.br%2Fvendas%2Fomni%2Flista%3Fplatform.id%3DML%26channel%3Dmarketshops%26filters%3D%26sort%3D%26page%3D1%26search%3D2000011015268300%26startPeriod%3D%26toCurrent%3D%26fromCurrent%3D" TargetMode="External"/><Relationship Id="rId57" Type="http://schemas.openxmlformats.org/officeDocument/2006/relationships/hyperlink" Target="https://www.mercadolivre.com.br/vendas/2000009973490088/detalhe?callbackUrl=https%3A%2F%2Fwww.mercadolivre.com.b" TargetMode="External"/><Relationship Id="rId106" Type="http://schemas.openxmlformats.org/officeDocument/2006/relationships/hyperlink" Target="https://www.mercadolivre.com.br/vendas/2000008257885828/detalhe?callbackUrl=https%3A%2F%2Fwww.mercadolivre.com.b" TargetMode="External"/><Relationship Id="rId127" Type="http://schemas.openxmlformats.org/officeDocument/2006/relationships/hyperlink" Target="https://www.mercadolivre.com.br/vendas/2000007961143584/detalhe?callbackUrl=https%3A%2F%2Fwww.mercadolivre.com.br" TargetMode="External"/><Relationship Id="rId10" Type="http://schemas.openxmlformats.org/officeDocument/2006/relationships/hyperlink" Target="https://www.mercadolivre.com.br/vendas/2000010940515752/documento-fiscal/c7181912-cfc0-459e-9a56-86ae3b0f523d?originalFilename=c7181912-cfc0-459e-9a56-86ae3b0f523d-danfe.pdf" TargetMode="External"/><Relationship Id="rId31" Type="http://schemas.openxmlformats.org/officeDocument/2006/relationships/hyperlink" Target="https://www.mercadolivre.com.br/vendas/2000011223376744/detalhe?callbackUrl=https%3A%2F%2Fwww.mercadolivre.com.br%2Fvendas%2Fomni%2Flista%3Fplatform.id%3DML%26channel%3Dmarketshops%26filters%3D%26sort%3D%26page%3D1%26search%3D2000011223376744%26startPeriod%3D%26toCurrent%3D%26fromCurrent%3D" TargetMode="External"/><Relationship Id="rId52" Type="http://schemas.openxmlformats.org/officeDocument/2006/relationships/hyperlink" Target="https://www.mercadolivre.com.br/vendas/2000012481550184/detalhe?callbackUrl=https%3A%2F%2Fwww.mercadolivre.com.br%2Fvendas%2Fomni%2Flista%3Fplatform.id%3DML%26channel%3Dmarketshops%26filters%3D%26sort%3D%26page%3D1%26search%3D%26startPeriod%3D%26toCurrent%3D%26fromCurrent%3D" TargetMode="External"/><Relationship Id="rId73" Type="http://schemas.openxmlformats.org/officeDocument/2006/relationships/hyperlink" Target="https://www.mercadolivre.com.br/vendas/2000008855139568/detalhe?callbackUrl=https%3A%2F%2Fwww.mercadolivre.com.b" TargetMode="External"/><Relationship Id="rId78" Type="http://schemas.openxmlformats.org/officeDocument/2006/relationships/hyperlink" Target="https://www.mercadolivre.com.br/vendas/2000008582914922/detalhe?callbackUrl=https%3A%2F%2Fwww.mercadolivre.com.b" TargetMode="External"/><Relationship Id="rId94" Type="http://schemas.openxmlformats.org/officeDocument/2006/relationships/hyperlink" Target="https://www.mercadolivre.com.br/vendas/2000008383177308/detalhe?callbackUrl=https%3A%2F%2Fwww.mercadolivre.com.b" TargetMode="External"/><Relationship Id="rId99" Type="http://schemas.openxmlformats.org/officeDocument/2006/relationships/hyperlink" Target="https://www.mercadolivre.com.br/vendas/2000008359360528/detalhe?callbackUrl=https%3A%2F%2Fwww.mercadolivre.com.b" TargetMode="External"/><Relationship Id="rId101" Type="http://schemas.openxmlformats.org/officeDocument/2006/relationships/hyperlink" Target="https://www.mercadolivre.com.br/vendas/2000008336099746/detalhe?callbackUrl=https%3A%2F%2Fwww.mercadolivre.com.b" TargetMode="External"/><Relationship Id="rId122" Type="http://schemas.openxmlformats.org/officeDocument/2006/relationships/hyperlink" Target="https://www.mercadolivre.com.br/vendas/2000005646960771/detalhe?callbackUrl=https%3A%2F%2Fwww.mercadolivre.com.b" TargetMode="External"/><Relationship Id="rId143" Type="http://schemas.openxmlformats.org/officeDocument/2006/relationships/hyperlink" Target="https://www.mercadolivre.com.br/vendas/2000007618450262/detalhe?callbackUrl=https%3A%2F%2Fwww.mercadolivre.com.br" TargetMode="External"/><Relationship Id="rId148" Type="http://schemas.openxmlformats.org/officeDocument/2006/relationships/hyperlink" Target="https://www.mercadolivre.com.br/vendas/2000012587825150/detalhe?callbackUrl=https%3A%2F%2Fwww.mercadolivre.com.br%2Fvendas%2Fomni%2Flista%3Fplatform.id%3DML%26channel%3Dmarketshops%26filters%3D%26sort%3D%26page%3D1%26search%3D%26startPeriod%3D%26toCurrent%3D%26fromCurrent%3D" TargetMode="External"/><Relationship Id="rId164" Type="http://schemas.openxmlformats.org/officeDocument/2006/relationships/hyperlink" Target="https://www.mercadolivre.com.br/vendas/2000008762527829/documento-fiscal/173fb911-60b2-4ce0-b187-c6f31fe50150?originalFilename=173fb911-60b2-4ce0-b187-c6f31fe50150-danfe.pdf" TargetMode="External"/><Relationship Id="rId169" Type="http://schemas.openxmlformats.org/officeDocument/2006/relationships/hyperlink" Target="https://www.mercadolivre.com.br/vendas/2000013155803276/detalhe?callbackUrl=https%3A%2F%2Fwww.mercadolivre.com.br%2Fvendas%2Fomni%2Flista" TargetMode="External"/><Relationship Id="rId185" Type="http://schemas.openxmlformats.org/officeDocument/2006/relationships/hyperlink" Target="https://www.mercadolivre.com.br/emissor/omni/api/invoices-download/sale/2000013285980374/pdf?view=true" TargetMode="External"/><Relationship Id="rId4" Type="http://schemas.openxmlformats.org/officeDocument/2006/relationships/hyperlink" Target="https://www.mercadolivre.com.br/vendas/2000006120245333/documento-fiscal/0d94d3da-a25e-4429-ad1c-b3d02d0ae197?originalFilename=0d94d3da-a25e-4429-ad1c-b3d02d0ae197-danfe.pdf" TargetMode="External"/><Relationship Id="rId9" Type="http://schemas.openxmlformats.org/officeDocument/2006/relationships/hyperlink" Target="https://www.mercadolivre.com.br/vendas/2000008344539473/documento-fiscal/265e5344-bdd1-4051-b0fe-a7e316f1853d?originalFilename=265e5344-bdd1-4051-b0fe-a7e316f1853d-danfe.pdf" TargetMode="External"/><Relationship Id="rId180" Type="http://schemas.openxmlformats.org/officeDocument/2006/relationships/hyperlink" Target="https://myaccount.mercadolivre.com.br/invoices/order/2000013497839372" TargetMode="External"/><Relationship Id="rId210" Type="http://schemas.openxmlformats.org/officeDocument/2006/relationships/hyperlink" Target="myaccount.mercadolivre.com.br/invoices/order/2000015045345568" TargetMode="External"/><Relationship Id="rId215" Type="http://schemas.openxmlformats.org/officeDocument/2006/relationships/hyperlink" Target="myaccount.mercadolivre.com.br/invoices/order/2000014781489790?source=ml&amp;callbackWording=Vendas&amp;callbackUrl=https%3A%2F%2Fwww.mercadolivre.com.br%2Fvendas%2Fomni%2Flista" TargetMode="External"/><Relationship Id="rId236" Type="http://schemas.openxmlformats.org/officeDocument/2006/relationships/comments" Target="../comments3.xml"/><Relationship Id="rId26" Type="http://schemas.openxmlformats.org/officeDocument/2006/relationships/hyperlink" Target="https://www.mercadolivre.com.br/vendas/2000011630707120/detalhe?callbackUrl=https%3A%2F%2Fwww.mercadolivre.com.br%2Fvendas%2Fo" TargetMode="External"/><Relationship Id="rId231" Type="http://schemas.openxmlformats.org/officeDocument/2006/relationships/drawing" Target="../drawings/drawing4.xml"/><Relationship Id="rId47" Type="http://schemas.openxmlformats.org/officeDocument/2006/relationships/hyperlink" Target="https://www.mercadolivre.com.br/vendas/2000010577079472/detalhe?callbackUrl=https%3A%2F%2Fwww.mercadolivre.com.br%2Fvendas%2Fomni%2Flista%3Fplatform.id%3DML%26channel%3Dmarketshops%26filters%3D%26sort%3D%26page%3D1%26search%3D2000010577079472%26startPeriod%3D%26toCurrent%3D%26fromCurrent%3D" TargetMode="External"/><Relationship Id="rId68" Type="http://schemas.openxmlformats.org/officeDocument/2006/relationships/hyperlink" Target="https://www.mercadolivre.com.br/vendas/2000009312009342/detalhe?callbackUrl=https%3A%2F%2Fwww.mercadolivre.com.b" TargetMode="External"/><Relationship Id="rId89" Type="http://schemas.openxmlformats.org/officeDocument/2006/relationships/hyperlink" Target="https://www.mercadolivre.com.br/vendas/2000008488764526/detalhe?callbackUrl=https%3A%2F%2Fwww.mercadolivre.com.b" TargetMode="External"/><Relationship Id="rId112" Type="http://schemas.openxmlformats.org/officeDocument/2006/relationships/hyperlink" Target="https://www.mercadolivre.com.br/vendas/2000008203114276/detalhe?callbackUrl=https%3A%2F%2Fwww.mercadolivre.com.b" TargetMode="External"/><Relationship Id="rId133" Type="http://schemas.openxmlformats.org/officeDocument/2006/relationships/hyperlink" Target="https://www.mercadolivre.com.br/vendas/2000007875914922/detalhe?callbackUrl=https%3A%2F%2Fwww.mercadolivre.com.br" TargetMode="External"/><Relationship Id="rId154" Type="http://schemas.openxmlformats.org/officeDocument/2006/relationships/hyperlink" Target="https://www.mercadolivre.com.br/vendas/2000012977148246/documento-fiscal/97c7a952-119f-43e7-aff9-882c82745449?originalFilename=97c7a952-119f-43e7-aff9-882c82745449-danfe.pdf" TargetMode="External"/><Relationship Id="rId175" Type="http://schemas.openxmlformats.org/officeDocument/2006/relationships/hyperlink" Target="https://www.mercadolivre.com.br/vendas/2000013095429776/documento-fiscal/15d779ea-73e5-492b-9018-3c4c15614da5?originalFilename=15d779ea-73e5-492b-9018-3c4c15614da5-danfe.pdf" TargetMode="External"/><Relationship Id="rId196" Type="http://schemas.openxmlformats.org/officeDocument/2006/relationships/hyperlink" Target="https://www.mercadolivre.com.br/vendas/2000010096885285/detalhe?callbackUrl=https%3A%2F%2Fwww.mercadolivre.com.br%2Fvendas%2Fomni%2Flista%3Fplatform.id%3DML%26channel%3Dmarketshops%26filters%3D%26sort%3D%26page%3D1%26search%3D%26startPeriod%3D%26toCurrent%3D%26fromCurrent%3D" TargetMode="External"/><Relationship Id="rId200" Type="http://schemas.openxmlformats.org/officeDocument/2006/relationships/hyperlink" Target="https://www.mercadolivre.com.br/vendas/2000010692886793/detalhe?callbackUrl=https%3A%2F%2Fwww.mercadolivre.com.br%2Fvendas%2Fomni%2Flista%3Fplatform.id%3DML%26channel%3Dmarketshops%26filters%3D%26sort%3D%26page%3D1%26search%3D%26startPeriod%3DWITH_DATE_CLOSED_2M_OLD%26toCurrent%3D%26fromCurrent%3D" TargetMode="External"/><Relationship Id="rId16" Type="http://schemas.openxmlformats.org/officeDocument/2006/relationships/hyperlink" Target="https://www.mercadolivre.com.br/vendas/2000012411332616/detalhe?callbackUrl=https%3A%2F%2Fwww.mercadolivre.com.br%2Fvendas%2Fomni%2Flista%3Fplatform.id%3DML%26channel%3Dmarketshops%26filters%3D%26sort%3D%26page%3D1%26search%3D2000012411332616%26startPeriod%3D%26toCurrent%3D%26fromCurrent%3D" TargetMode="External"/><Relationship Id="rId221" Type="http://schemas.openxmlformats.org/officeDocument/2006/relationships/hyperlink" Target="https://www.mercadolivre.com.br/emissor/vendas/2000014125579626/faturas?source=ml" TargetMode="External"/><Relationship Id="rId37" Type="http://schemas.openxmlformats.org/officeDocument/2006/relationships/hyperlink" Target="https://www.mercadolivre.com.br/vendas/2000007366574631/detalhe?callbackUrl=https%3A%2F%2Fwww.mercadolivre.com.br%2Fvendas%2Fomni%2Flista%3Fplatform.id%3DML%26channel%3Dmarketshops%26filters%3D%26sort%3D%26page%3D1%26search%3D2000007366574631%26startPeriod%3D%26toCurrent%3D%26fromCurrent%3D" TargetMode="External"/><Relationship Id="rId58" Type="http://schemas.openxmlformats.org/officeDocument/2006/relationships/hyperlink" Target="https://www.mercadolivre.com.br/vendas/2000009973724384/detalhe?callbackUrl=https%3A%2F%2Fwww.mercadolivre.com.b" TargetMode="External"/><Relationship Id="rId79" Type="http://schemas.openxmlformats.org/officeDocument/2006/relationships/hyperlink" Target="https://www.mercadolivre.com.br/vendas/2000008585134654/detalhe?callbackUrl=https%3A%2F%2Fwww.mercadolivre.com.b" TargetMode="External"/><Relationship Id="rId102" Type="http://schemas.openxmlformats.org/officeDocument/2006/relationships/hyperlink" Target="https://www.mercadolivre.com.br/vendas/2000008303857670/detalhe?callbackUrl=https%3A%2F%2Fwww.mercadolivre.com.b" TargetMode="External"/><Relationship Id="rId123" Type="http://schemas.openxmlformats.org/officeDocument/2006/relationships/hyperlink" Target="https://www.mercadolivre.com.br/vendas/2000008057653084/detalhe?callbackUrl=https%3A%2F%2Fwww.mercadolivre.com.b" TargetMode="External"/><Relationship Id="rId144" Type="http://schemas.openxmlformats.org/officeDocument/2006/relationships/hyperlink" Target="https://www.mercadolivre.com.br/vendas/2000007612386294/detalhe?callbackUrl=https%3A%2F%2Fwww.mercadolivre.com.br" TargetMode="External"/><Relationship Id="rId90" Type="http://schemas.openxmlformats.org/officeDocument/2006/relationships/hyperlink" Target="https://www.mercadolivre.com.br/vendas/2000008476726726/detalhe?callbackUrl=https%3A%2F%2Fwww.mercadolivre.com.b" TargetMode="External"/><Relationship Id="rId165" Type="http://schemas.openxmlformats.org/officeDocument/2006/relationships/hyperlink" Target="https://www.mercadolivre.com.br/vendas/2000012481550184/documento-fiscal/28a07c19-ce8e-4421-b80a-40b21cb5dd7e?originalFilename=28a07c19-ce8e-4421-b80a-40b21cb5dd7e-danfe.pdf" TargetMode="External"/><Relationship Id="rId186" Type="http://schemas.openxmlformats.org/officeDocument/2006/relationships/hyperlink" Target="https://www.mercadolivre.com.br/vendas/2000009784223221/detalhe?callbackUrl=https%3A%2F%2Fwww.mercadolivre.com.br%2Fvendas%2Fomni%2Flista%3Fplatform.id%3DML%26channel%3Dmarketshops%26filters%3DTAB_TODAY%26sort%3D%26page%3D1%26search%3D%26startPeriod%3D%26toCurrent%3D%26fromCurrent%3D" TargetMode="External"/><Relationship Id="rId211" Type="http://schemas.openxmlformats.org/officeDocument/2006/relationships/hyperlink" Target="https://www.mercadolivre.com.br/emissor/vendas/2000015006497118/faturas?source=ml" TargetMode="External"/><Relationship Id="rId232" Type="http://schemas.openxmlformats.org/officeDocument/2006/relationships/vmlDrawing" Target="../drawings/vmlDrawing4.vml"/><Relationship Id="rId27" Type="http://schemas.openxmlformats.org/officeDocument/2006/relationships/hyperlink" Target="https://www.mercadolivre.com.br/vendas/2000007706798515/detalhe?callbackUrl=https%3A%2F%2Fwww.mercadolivre.com.br%2Fvendas%2Fomni%2Flista%3Fplatform.id%3DML%26channel%3Dmarketshop" TargetMode="External"/><Relationship Id="rId48" Type="http://schemas.openxmlformats.org/officeDocument/2006/relationships/hyperlink" Target="https://www.mercadolivre.com.br/vendas/2000010570573102/detalhe?callbackUrl=https%3A%2F%2Fwww.mercadolivre.com.br%2Fvendas%2Fomni%2Flista%3Fplatform.id%3DML%26channel%3Dmarketshops%26filters%3D%26sort%3D%26page%3D1%26search%3D2000010570573102%26startPeriod%3D%26toCurrent%3D%26fromCurrent%3D" TargetMode="External"/><Relationship Id="rId69" Type="http://schemas.openxmlformats.org/officeDocument/2006/relationships/hyperlink" Target="https://www.mercadolivre.com.br/vendas/2000006309537249/detalhe?callbackUrl=https%3A%2F%2Fwww.mercadolivre.com.b" TargetMode="External"/><Relationship Id="rId113" Type="http://schemas.openxmlformats.org/officeDocument/2006/relationships/hyperlink" Target="https://www.mercadolivre.com.br/vendas/2000008191073958/detalhe?callbackUrl=https%3A%2F%2Fwww.mercadolivre.com.b" TargetMode="External"/><Relationship Id="rId134" Type="http://schemas.openxmlformats.org/officeDocument/2006/relationships/hyperlink" Target="https://www.mercadolivre.com.br/vendas/2000007863941342/detalhe?callbackUrl=https%3A%2F%2Fwww.mercadolivre.com.br" TargetMode="External"/><Relationship Id="rId80" Type="http://schemas.openxmlformats.org/officeDocument/2006/relationships/hyperlink" Target="https://www.mercadolivre.com.br/vendas/2000008573734944/detalhe?callbackUrl=https%3A%2F%2Fwww.mercadolivre.com.b" TargetMode="External"/><Relationship Id="rId155" Type="http://schemas.openxmlformats.org/officeDocument/2006/relationships/hyperlink" Target="https://www.mercadolivre.com.br/vendas/2000008886588279/detalhe?callbackUrl=https%3A%2F%2Fwww.mercadolivre.com.br%2Fvendas%2Fomni%2Flista%3Fplatform.id%3DML%26channel%3Dmarketshops%26filters%3D%26sort%3D%26page%3D1%26search%3D2000008886588279%26startPeriod%3D%26toCurrent%3D%26fromCurrent%3D" TargetMode="External"/><Relationship Id="rId176" Type="http://schemas.openxmlformats.org/officeDocument/2006/relationships/hyperlink" Target="https://www.mercadolivre.com.br/vendas/2000013398547350/detalhe?callbackUrl=https%3A%2F%2Fwww.mercadolivre.com.br%2Fvendas%2Fomni%2Flista%3Ffilters%26sort%26page%3D%26search" TargetMode="External"/><Relationship Id="rId197" Type="http://schemas.openxmlformats.org/officeDocument/2006/relationships/hyperlink" Target="https://www.mercadolivre.com.br/vendas/2000010134498169/detalhe?callbackUrl=https%3A%2F%2Fwww.mercadolivre.com.br%2Fvendas%2Fomni%2Flista%3Fplatform.id%3DML%26channel%3Dmarketshops%26filters%3D%26sort%3D%26page%3D1%26search%3D%26startPeriod%3D%26toCurrent%3D%26fromCurrent%3D" TargetMode="External"/><Relationship Id="rId201" Type="http://schemas.openxmlformats.org/officeDocument/2006/relationships/hyperlink" Target="https://www.mercadolivre.com.br/vendas/2000010758091933/detalhe?callbackUrl=https%3A%2F%2Fwww.mercadolivre.com.br%2Fvendas%2Fomni%2Flista%3Fplatform.id%3DML%26channel%3Dmarketshops%26filters%3D%26sort%3D%26page%3D1%26search%3D%26startPeriod%3DWITH_DATE_CLOSED_2M_OLD%26toCurrent%3D%26fromCurrent%3D" TargetMode="External"/><Relationship Id="rId222" Type="http://schemas.openxmlformats.org/officeDocument/2006/relationships/hyperlink" Target="myaccount.mercadolivre.com.br/invoices/order/2000013992594132?source=ml&amp;callbackWording=Vendas&amp;callbackUrl=https%3A%2F%2Fwww.mercadolivre.com.br%2Fvendas%2Fomni%2Flista" TargetMode="External"/><Relationship Id="rId17" Type="http://schemas.openxmlformats.org/officeDocument/2006/relationships/hyperlink" Target="https://www.mercadolivre.com.br/vendas/2000012323641854/detalhe?callbackUrl=https%3A%2F%2Fwww.mercadolivre.com.br%2Fvendas%2Fomni%2Flista%3Fplatform" TargetMode="External"/><Relationship Id="rId38" Type="http://schemas.openxmlformats.org/officeDocument/2006/relationships/hyperlink" Target="https://www.mercadolivre.com.br/vendas/2000010991724522/detalhe?callbackUrl=https%3A%2F%2Fwww.mercadolivre.com.br%2Fvendas%2Fomni%2Flista%3Fplatform.id%3DML%26channel%3Dmarketshops%26filters%3D%26sort%3D%26page%3D1%26search%3D2000010991724522%26startPeriod%3D%26toCurrent%3D%26fromCurrent%3D" TargetMode="External"/><Relationship Id="rId59" Type="http://schemas.openxmlformats.org/officeDocument/2006/relationships/hyperlink" Target="https://www.mercadolivre.com.br/vendas/2000009955630272/detalhe?callbackUrl=https%3A%2F%2Fwww.mercadolivre.com.b" TargetMode="External"/><Relationship Id="rId103" Type="http://schemas.openxmlformats.org/officeDocument/2006/relationships/hyperlink" Target="https://www.mercadolivre.com.br/vendas/2000008298175908/detalhe?callbackUrl=https%3A%2F%2Fwww.mercadolivre.com.b" TargetMode="External"/><Relationship Id="rId124" Type="http://schemas.openxmlformats.org/officeDocument/2006/relationships/hyperlink" Target="https://www.mercadolivre.com.br/vendas/2000008039689022/detalhe?callbackUrl=https%3A%2F%2Fwww.mercadolivre.com.b" TargetMode="External"/><Relationship Id="rId70" Type="http://schemas.openxmlformats.org/officeDocument/2006/relationships/hyperlink" Target="https://www.mercadolivre.com.br/vendas/2000009261733832/detalhe?callbackUrl=https%3A%2F%2Fwww.mercadolivre.com.b" TargetMode="External"/><Relationship Id="rId91" Type="http://schemas.openxmlformats.org/officeDocument/2006/relationships/hyperlink" Target="https://www.mercadolivre.com.br/vendas/2000008416488222/detalhe?callbackUrl=https%3A%2F%2Fwww.mercadolivre.com.b" TargetMode="External"/><Relationship Id="rId145" Type="http://schemas.openxmlformats.org/officeDocument/2006/relationships/hyperlink" Target="https://www.mercadolivre.com.br/vendas/2000007302119730/detalhe?callbackUrl=https%3A%2F%2Fwww.mercadolivre.com.br" TargetMode="External"/><Relationship Id="rId166" Type="http://schemas.openxmlformats.org/officeDocument/2006/relationships/hyperlink" Target="https://www.mercadolivre.com.br/vendas/2000009262679635/detalhe?callbackUrl=https%3A%2F%2Fwww.mercadolivre.com.br%2Fvendas%2Fomni%2Flista%3Fplatform.id%3DML%26channel%3Dmarketshops%26filters%3D%26sort%3D%26page%3D1%26search%3D2000009262679635%26startPeriod%3D%26toCurrent%3D%26fromCurrent%3D" TargetMode="External"/><Relationship Id="rId187" Type="http://schemas.openxmlformats.org/officeDocument/2006/relationships/hyperlink" Target="https://www.mercadolivre.com.br/vendas/2000009932769169/detalhe?callbackUrl=https%3A%2F%2Fwww.mercadolivre.com.br%2Fvendas%2Fomni%2Flista%3Fplatform.id%3DML%26channel%3Dmarketshops%26filters%3DTAB_TODAY%26sort%3D%26page%3D1%26search%3D%26startPeriod%3D%26toCurrent%3D%26fromCurrent%3D" TargetMode="External"/><Relationship Id="rId1" Type="http://schemas.openxmlformats.org/officeDocument/2006/relationships/hyperlink" Target="https://www.mercadolivre.com.br/vendas/2000008344539473/documento-fiscal/265e5344-bdd1-4051-b0fe-a7e316f1853d?originalFilename=265e5344-bdd1-4051-b0fe-a7e316f1853d-danfe.pdf" TargetMode="External"/><Relationship Id="rId212" Type="http://schemas.openxmlformats.org/officeDocument/2006/relationships/hyperlink" Target="myaccount.mercadolivre.com.br/invoices/order/2000014955415692?source=ml&amp;callbackWording=Vendas&amp;callbackUrl=https%3A%2F%2Fwww.mercadolivre.com.br%2Fvendas%2Fomni%2Flista" TargetMode="External"/><Relationship Id="rId233" Type="http://schemas.openxmlformats.org/officeDocument/2006/relationships/ctrlProp" Target="../ctrlProps/ctrlProp8.xml"/><Relationship Id="rId28" Type="http://schemas.openxmlformats.org/officeDocument/2006/relationships/hyperlink" Target="https://www.mercadolivre.com.br/vendas/2000007653044411/detalhe?callbackUrl=https%3A%2F%2Fwww.mercadolivre.com.br%2Fvendas%2Fomni%2Flista%3Fplatform.id%3DML%26channel%3Dmarketshops%26filters%3D%26sort%3D%26page%3D1%26search%3D2000007653044411%26startPeriod%3D%26toCurrent%3D%26fromCurrent%3D" TargetMode="External"/><Relationship Id="rId49" Type="http://schemas.openxmlformats.org/officeDocument/2006/relationships/hyperlink" Target="https://www.mercadolivre.com.br/vendas/2000007061997799/detalhe?callbackUrl=https%3A%2F%2Fwww.mercadolivre.com.br%2Fvendas%2Fomni%2Flista%3Fplatform.id%3DML%26channel%3Dmarketshops%26filters%3D%26sort%3D%26page%3D1%26search%3D2000007061997799%26startPeriod%3D%26toCurrent%3D%26fromCurrent%3D" TargetMode="External"/><Relationship Id="rId114" Type="http://schemas.openxmlformats.org/officeDocument/2006/relationships/hyperlink" Target="https://www.mercadolivre.com.br/vendas/2000008133674736/detalhe?callbackUrl=https%3A%2F%2Fwww.mercadolivre.com.b" TargetMode="External"/><Relationship Id="rId60" Type="http://schemas.openxmlformats.org/officeDocument/2006/relationships/hyperlink" Target="https://www.mercadolivre.com.br/vendas/2000009717600766/detalhe?callbackUrl=https%3A%2F%2Fwww.mercadolivre.com.b" TargetMode="External"/><Relationship Id="rId81" Type="http://schemas.openxmlformats.org/officeDocument/2006/relationships/hyperlink" Target="https://www.mercadolivre.com.br/vendas/2000005924568433/detalhe?callbackUrl=https%3A%2F%2Fwww.mercadolivre.com.b" TargetMode="External"/><Relationship Id="rId135" Type="http://schemas.openxmlformats.org/officeDocument/2006/relationships/hyperlink" Target="https://www.mercadolivre.com.br/vendas/2000007854351004/detalhe?callbackUrl=https%3A%2F%2Fwww.mercadolivre.com.br" TargetMode="External"/><Relationship Id="rId156" Type="http://schemas.openxmlformats.org/officeDocument/2006/relationships/hyperlink" Target="https://www.mercadolivre.com.br/vendas/2000012637483864/detalhe?callbackUrl=https%3A%2F%2Fwww.mercadolivre.com.br%2Fvendas%2Fomni%2Flista%3Fplatform.id%3DML%26channel%3Dmarketshops%26filters%3D%26sort%3D%26page%3D1%26search%3D2000012637483864%26startPeriod%3D%26toCurrent%3D%26fromCurrent%3D" TargetMode="External"/><Relationship Id="rId177" Type="http://schemas.openxmlformats.org/officeDocument/2006/relationships/hyperlink" Target="https://www.mercadolivre.com.br/vendas/2000013463971802/detalhe?callbackUrl=https%3A%2F%2Fwww.mercadolivre.com.br%2Fvendas%2Fomni%2Flista%3Fplatform.id%3DML%26channel%3Dmarketshops%26filters%3D%26sort%3D%26page%3D1%26search%3D%26startPeriod%3D%26toCurrent%3D%26fromCurrent%3D" TargetMode="External"/><Relationship Id="rId198" Type="http://schemas.openxmlformats.org/officeDocument/2006/relationships/hyperlink" Target="https://www.mercadolivre.com.br/vendas/2000010359672033/detalhe?callbackUrl=https%3A%2F%2Fwww.mercadolivre.com.br%2Fvendas%2Fomni%2Flista%3Fplatform.id%3DML%26channel%3Dmarketshops%26filters%3D%26sort%3D%26page%3D1%26search%3D%26startPeriod%3DWITH_DATE_CLOSED_2M_OLD%26toCurrent%3D%26fromCurrent%3D" TargetMode="External"/><Relationship Id="rId202" Type="http://schemas.openxmlformats.org/officeDocument/2006/relationships/hyperlink" Target="https://www.mercadolivre.com.br/vendas/2000014561103252/detalhe?callbackUrl=https%3A%2F%2Fwww.mercadolivre.com.br%2Fvendas%2Fomni%2Flista%3Fplatform.id%3DML%26channel%3Dmarketshops%26filters%3D%26sort%3D%26page%3D1%26search%3D%26startPeriod%3DWITH_DATE_CLOSED_2M_OLD%26toCurrent%3D%26fromCurrent%3D" TargetMode="External"/><Relationship Id="rId223" Type="http://schemas.openxmlformats.org/officeDocument/2006/relationships/hyperlink" Target="https://www.mercadolivre.com.br/vendas/2000011817606743/detalhe?callbackUrl=https%3A%2F%2Fwww.mercadolivre.com.br%2Fvendas%2Fomni%2Flista%3Fplatform.id%3DML%26channel%3Dmarketshops%26filters%3D%26sort%3D%26page%3D1%26search%3D%26startPeriod%3DWITH_DATE_CLOSED_2M_OLD%26toCurrent%3D%26fromCurrent%3D" TargetMode="External"/><Relationship Id="rId18" Type="http://schemas.openxmlformats.org/officeDocument/2006/relationships/hyperlink" Target="https://www.mercadolivre.com.br/vendas/2000012228946746/detalhe?ca" TargetMode="External"/><Relationship Id="rId39" Type="http://schemas.openxmlformats.org/officeDocument/2006/relationships/hyperlink" Target="https://www.mercadolivre.com.br/vendas/2000010940515752/detalhe?callbackUrl=https%3A%2F%2Fwww.mercadolivre.com.br%2Fvendas%2Fomni%2Flista%3Fplatform.id%3DML%26channel%3Dmarketshops%26filters%3D%26sort%3D%26page%3D1%26search%3D2000010940515752%26startPeriod%3D%26toCurrent%3D%26fromCurrent%3D" TargetMode="External"/><Relationship Id="rId50" Type="http://schemas.openxmlformats.org/officeDocument/2006/relationships/hyperlink" Target="https://www.mercadolivre.com.br/vendas/2000010409202596/detalhe?callbackUrl=https%3A%2F%2Fwww.mercadolivre.com.br%2Fvendas%2F" TargetMode="External"/><Relationship Id="rId104" Type="http://schemas.openxmlformats.org/officeDocument/2006/relationships/hyperlink" Target="https://www.mercadolivre.com.br/vendas/2000008269867088/detalhe?callbackUrl=https%3A%2F%2Fwww.mercadolivre.com.b" TargetMode="External"/><Relationship Id="rId125" Type="http://schemas.openxmlformats.org/officeDocument/2006/relationships/hyperlink" Target="https://www.mercadolivre.com.br/vendas/2000005598334671/detalhe?callbackUrl=https%3A%2F%2Fwww.mercadolivre.com.b" TargetMode="External"/><Relationship Id="rId146" Type="http://schemas.openxmlformats.org/officeDocument/2006/relationships/hyperlink" Target="file:///C:\Users\Regimar\AppData\MERCEDANIA%20NOTAS\NFe-010041-1.pdf" TargetMode="External"/><Relationship Id="rId167" Type="http://schemas.openxmlformats.org/officeDocument/2006/relationships/hyperlink" Target="https://www.mercadolivre.com.br/vendas/2000009240799579/detalhe?callbackUrl=https%3A%2F%2Fwww.mercadolivre.com.br%2Fvendas%2Fomni%2Flista%3Fplatform.id%3DML%26channel%3Dmarketshops%26filters%3D%26sort%3D%26page%3D1%26search%3D2000009240799579%26startPeriod%3D%26toCurrent%3D%26fromCurrent%3D" TargetMode="External"/><Relationship Id="rId188" Type="http://schemas.openxmlformats.org/officeDocument/2006/relationships/hyperlink" Target="https://www.mercadolivre.com.br/vendas/2000010017047485/detalhe?callbackUrl=https%3A%2F%2Fwww.mercadolivre.com.br%2Fvendas%2Fomni%2Flista%3Fplatform.id%3DML%26channel%3Dmarketshops%26filters%3D%26sort%3D%26page%3D1%26search%3D%26startPeriod%3D%26toCurrent%3D%26fromCurrent%3D" TargetMode="External"/><Relationship Id="rId71" Type="http://schemas.openxmlformats.org/officeDocument/2006/relationships/hyperlink" Target="https://www.mercadolivre.com.br/vendas/2000009042361184/detalhe?callbackUrl=https%3A%2F%2Fwww.mercadolivre.com.b" TargetMode="External"/><Relationship Id="rId92" Type="http://schemas.openxmlformats.org/officeDocument/2006/relationships/hyperlink" Target="https://www.mercadolivre.com.br/vendas/2000008416517750/detalhe?callbackUrl=https%3A%2F%2Fwww.mercadolivre.com.b" TargetMode="External"/><Relationship Id="rId213" Type="http://schemas.openxmlformats.org/officeDocument/2006/relationships/hyperlink" Target="https://www.mercadolivre.com.br/emissor/vendas/2000014930224892/faturas?source=ml" TargetMode="External"/><Relationship Id="rId234" Type="http://schemas.openxmlformats.org/officeDocument/2006/relationships/ctrlProp" Target="../ctrlProps/ctrlProp9.xml"/><Relationship Id="rId2" Type="http://schemas.openxmlformats.org/officeDocument/2006/relationships/hyperlink" Target="https://www.mercadolivre.com.br/vendas/2000007416258225/documento-fiscal/5f8a1ac3-01c8-4ea3-8602-86b40585c5e4?originalFilename=5f8a1ac3-01c8-4ea3-8602-86b40585c5e4-danfe.pdf" TargetMode="External"/><Relationship Id="rId29" Type="http://schemas.openxmlformats.org/officeDocument/2006/relationships/hyperlink" Target="https://www.mercadolivre.com.br/vendas/2000007634669919/detalhe?callbackUrl=https%3A%2F%2Fwww.mercadolivre.com.br%2Fvendas%2Fomni%2Flista%3Fplatform.id%3DML%26channel%3Dmarketshops%26filters%3D%26sort%3D%26page%3D1%26search%3D2000007634669919%26startPeriod%3D%26toCurrent%3D%26fromCurrent%3D" TargetMode="External"/><Relationship Id="rId40" Type="http://schemas.openxmlformats.org/officeDocument/2006/relationships/hyperlink" Target="https://www.mercadolivre.com.br/vendas/2000007270846767/detalhe?callbackUrl=https%3A%2F%2Fwww.mercadolivre.com.br%2Fvendas%2Fomni%2Flista%3Fplatform.id%3DML%26channel%3Dmarketshops%26filters%3D%26sort%3D%26page%3D1%26search%3D2000007270846767%26startPeriod%3D%26toCurrent%3D%26fromCurrent%3D" TargetMode="External"/><Relationship Id="rId115" Type="http://schemas.openxmlformats.org/officeDocument/2006/relationships/hyperlink" Target="https://www.mercadolivre.com.br/vendas/2000005683710927/detalhe?callbackUrl=https%3A%2F%2Fwww.mercadolivre.com.b" TargetMode="External"/><Relationship Id="rId136" Type="http://schemas.openxmlformats.org/officeDocument/2006/relationships/hyperlink" Target="https://www.mercadolivre.com.br/vendas/2000007850976906/detalhe?callbackUrl=https%3A%2F%2Fwww.mercadolivre.com.br" TargetMode="External"/><Relationship Id="rId157" Type="http://schemas.openxmlformats.org/officeDocument/2006/relationships/hyperlink" Target="https://www.mercadolivre.com.br/vendas/2000012694836392/detalhe?callbackUrl=https%3A%2F%2Fwww.mercadolivre.com.br%2Fvendas%2Fomni%2Flista" TargetMode="External"/><Relationship Id="rId178" Type="http://schemas.openxmlformats.org/officeDocument/2006/relationships/hyperlink" Target="https://www.mercadolivre.com.br/emissor/vendas/2000013463971802/faturas" TargetMode="External"/><Relationship Id="rId61" Type="http://schemas.openxmlformats.org/officeDocument/2006/relationships/hyperlink" Target="https://www.mercadolivre.com.br/vendas/2000009557463192/detalhe?callbackUrl=https%3A%2F%2Fwww.mercadolivre.com.b" TargetMode="External"/><Relationship Id="rId82" Type="http://schemas.openxmlformats.org/officeDocument/2006/relationships/hyperlink" Target="https://www.mercadolivre.com.br/vendas/2000008574506922/detalhe?callbackUrl=https%3A%2F%2Fwww.mercadolivre.com.b" TargetMode="External"/><Relationship Id="rId199" Type="http://schemas.openxmlformats.org/officeDocument/2006/relationships/hyperlink" Target="https://www.mercadolivre.com.br/vendas/2000010457296461/detalhe?callbackUrl=https%3A%2F%2Fwww.mercadolivre.com.br%2Fvendas%2Fomni%2Flista%3Fplatform.id%3DML%26channel%3Dmarketshops%26filters%3D%26sort%3D%26page%3D1%26search%3D%26startPeriod%3DWITH_DATE_CLOSED_2M_OLD%26toCurrent%3D%26fromCurrent%3D" TargetMode="External"/><Relationship Id="rId203" Type="http://schemas.openxmlformats.org/officeDocument/2006/relationships/hyperlink" Target="https://www.mercadolivre.com.br/vendas/2000011043166257/detalhe?callbackUrl=https%3A%2F%2Fwww.mercadolivre.com.br%2Fvendas%2Fomni%2Flista%3Fplatform.id%3DML%26channel%3Dmarketshops%26filters%3D%26sort%3D%26page%3D1%26search%3D%26startPeriod%3DWITH_DATE_CLOSED_2M_OLD%26toCurrent%3D%26fromCurrent%3D" TargetMode="External"/><Relationship Id="rId19" Type="http://schemas.openxmlformats.org/officeDocument/2006/relationships/hyperlink" Target="https://www.mercadolivre.com.br/vendas/2000012158086240/detalhe?callbackUrl=https%3A%2F%2Fwww.mercadolivre.com.br%2Fvendas%2Fomni%2Flista%3Fplatform.id%3DML%26channel%3Dmarketshops%26filters%3D%26sort%3D%26page%3D1%26search%3D2000012158086240%26startPeriod%3D%26toCurrent%3D%26fromCurrent%3D" TargetMode="External"/><Relationship Id="rId224" Type="http://schemas.openxmlformats.org/officeDocument/2006/relationships/hyperlink" Target="myaccount.mercadolivre.com.br/invoices/order/2000015364278742" TargetMode="External"/><Relationship Id="rId30" Type="http://schemas.openxmlformats.org/officeDocument/2006/relationships/hyperlink" Target="https://www.mercadolivre.com.br/vendas/2000007623220333/detalhe?callbackUrl=https%3A%2F%2Fwww.mercadolivre.com.br%2Fvendas%2Fomni%2Flista%3Fplatform.id%3DML%26channel%3Dmarketshops%26filters%3D%26sort%3D%26page%3D1%26search%3D2000007623220333%26startPeriod%3D%26toCurrent%3D%26fromCurrent%3D" TargetMode="External"/><Relationship Id="rId105" Type="http://schemas.openxmlformats.org/officeDocument/2006/relationships/hyperlink" Target="https://www.mercadolivre.com.br/vendas/2000005753161039/detalhe?callbackUrl=https%3A%2F%2Fwww.mercadolivre.com.b" TargetMode="External"/><Relationship Id="rId126" Type="http://schemas.openxmlformats.org/officeDocument/2006/relationships/hyperlink" Target="https://www.mercadolivre.com.br/vendas/2000007907747182/detalhe?callbackUrl=https%3A%2F%2Fwww.mercadolivre.com.br" TargetMode="External"/><Relationship Id="rId147" Type="http://schemas.openxmlformats.org/officeDocument/2006/relationships/hyperlink" Target="https://www.mercadolivre.com.br/vendas/2000008762527829/detalhe?callbackUrl=https%3A%2F%2Fwww.mercadolivre.com.br%2Fvendas%2Fomni%2Flista%3Fplatform.id%3DML%26channel%3Dmarketshops%26filters%3D%26sort%3D%26page%3D1%26search%3D%26startPeriod%3D%26toCurrent%3D%26fromCurrent%3D" TargetMode="External"/><Relationship Id="rId168" Type="http://schemas.openxmlformats.org/officeDocument/2006/relationships/hyperlink" Target="https://www.mercadolivre.com.br/vendas/2000013095429776/detalhe?callbackUrl=https%3A%2F%2Fwww.mercadolivre.com.br%2Fvendas%2Fomni%2Flista%3Fplatform.id%3DML%26channel%3Dmarketshops%26filters%3D%26sort%3D%26page%3D1%26search%3D%26startPeriod%3D%26toCurrent%3D%26fromCurrent%3D" TargetMode="External"/><Relationship Id="rId51" Type="http://schemas.openxmlformats.org/officeDocument/2006/relationships/hyperlink" Target="https://www.mercadolivre.com.br/vendas/2000010398578502/detalhe?callbackUrl=https%3A%2F%2Fwww.mercadolivre.com.b" TargetMode="External"/><Relationship Id="rId72" Type="http://schemas.openxmlformats.org/officeDocument/2006/relationships/hyperlink" Target="https://www.mercadolivre.com.br/vendas/2000006120245333/detalhe?callbackUrl=https%3A%2F%2Fwww.mercadolivre.com.b" TargetMode="External"/><Relationship Id="rId93" Type="http://schemas.openxmlformats.org/officeDocument/2006/relationships/hyperlink" Target="https://www.mercadolivre.com.br/vendas/2000008391978176/detalhe?callbackUrl=https%3A%2F%2Fwww.mercadolivre.com.b" TargetMode="External"/><Relationship Id="rId189" Type="http://schemas.openxmlformats.org/officeDocument/2006/relationships/hyperlink" Target="https://www.mercadolivre.com.br/vendas/2000010026239095/detalhe?callbackUrl=https%3A%2F%2Fwww.mercadolivre.com.br%2Fvendas%2Fomni%2Flista%3Fplatform.id%3DML%26channel%3Dmarketshops%26filters%3D%26sort%3D%26page%3D1%26search%3D%26startPeriod%3D%26toCurrent%3D%26fromCurrent%3D" TargetMode="External"/><Relationship Id="rId3" Type="http://schemas.openxmlformats.org/officeDocument/2006/relationships/hyperlink" Target="https://www.mercadolivre.com.br/vendas/2000011929269162/documento-fiscal/960944c2-ed98-44d0-b559-914c90df3743?originalFilename=960944c2-ed98-44d0-b559-914c90df3743-danfe.pdf" TargetMode="External"/><Relationship Id="rId214" Type="http://schemas.openxmlformats.org/officeDocument/2006/relationships/hyperlink" Target="https://www.mercadolivre.com.br/emissor/vendas/2000014908460476/faturas?source=ml" TargetMode="External"/><Relationship Id="rId235" Type="http://schemas.openxmlformats.org/officeDocument/2006/relationships/table" Target="../tables/table3.xml"/><Relationship Id="rId116" Type="http://schemas.openxmlformats.org/officeDocument/2006/relationships/hyperlink" Target="https://www.mercadolivre.com.br/vendas/2000008106379258/detalhe?callbackUrl=https%3A%2F%2Fwww.mercadolivre.com.b" TargetMode="External"/><Relationship Id="rId137" Type="http://schemas.openxmlformats.org/officeDocument/2006/relationships/hyperlink" Target="https://www.mercadolivre.com.br/vendas/2000007827277140/detalhe?callbackUrl=https%3A%2F%2Fwww.mercadolivre.com.br" TargetMode="External"/><Relationship Id="rId158" Type="http://schemas.openxmlformats.org/officeDocument/2006/relationships/hyperlink" Target="https://www.mercadolivre.com.br/vendas/2000012846140892/detalhe?callbackUrl=https%3A%2F%2Fwww.mercadolivre.com.br%2Fvendas%2Fomni%2Flista%3Fplatform.id%3DML%26channel%3Dmarketshops%26filters%3D%26sort%3D%26page%3D1%26search%3D2000012846140892%26startPeriod%3D%26toCurrent%3D%26fromCurrent%3D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mercadolivre.com.br/anuncios/lista?filters=CHANNEL_NO_PROXIMITY_AND_NO_MP_MERCHANTS&amp;page=1&amp;search=4445346663&amp;sort=DEFAULT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60ECE-55C4-49EA-91A4-0A242EB995E7}">
  <sheetPr codeName="Planilha3">
    <tabColor theme="4" tint="0.79998168889431442"/>
  </sheetPr>
  <dimension ref="A1:V400"/>
  <sheetViews>
    <sheetView tabSelected="1" zoomScale="85" zoomScaleNormal="85" workbookViewId="0">
      <selection activeCell="D6" sqref="D6:D7"/>
    </sheetView>
  </sheetViews>
  <sheetFormatPr defaultColWidth="13.7109375" defaultRowHeight="23.25" customHeight="1" x14ac:dyDescent="0.25"/>
  <cols>
    <col min="1" max="1" width="3.28515625" style="42" customWidth="1"/>
    <col min="2" max="2" width="18" style="2" bestFit="1" customWidth="1"/>
    <col min="3" max="3" width="18.28515625" style="1" bestFit="1" customWidth="1"/>
    <col min="4" max="4" width="18.42578125" style="1" bestFit="1" customWidth="1"/>
    <col min="5" max="11" width="17.5703125" style="1" customWidth="1"/>
    <col min="12" max="12" width="18" style="1" bestFit="1" customWidth="1"/>
    <col min="13" max="13" width="18.85546875" style="1" bestFit="1" customWidth="1"/>
    <col min="14" max="14" width="18" style="1" bestFit="1" customWidth="1"/>
    <col min="15" max="15" width="18.85546875" style="1" customWidth="1"/>
    <col min="16" max="16" width="11" style="1" customWidth="1"/>
    <col min="17" max="20" width="17.5703125" style="1" customWidth="1"/>
    <col min="21" max="21" width="7" style="1" bestFit="1" customWidth="1"/>
    <col min="22" max="22" width="10.7109375" style="1" bestFit="1" customWidth="1"/>
    <col min="23" max="125" width="13.7109375" style="1" customWidth="1"/>
    <col min="126" max="16384" width="13.7109375" style="1"/>
  </cols>
  <sheetData>
    <row r="1" spans="1:19" s="103" customFormat="1" ht="4.5" customHeight="1" x14ac:dyDescent="0.25">
      <c r="A1" s="447"/>
      <c r="B1" s="448"/>
    </row>
    <row r="2" spans="1:19" ht="29.25" customHeight="1" x14ac:dyDescent="0.25">
      <c r="A2" s="214"/>
      <c r="B2" s="98"/>
      <c r="C2" s="556">
        <f ca="1">NOW()</f>
        <v>46169.471983217591</v>
      </c>
      <c r="D2" s="98"/>
      <c r="E2" s="98"/>
      <c r="F2" s="98"/>
      <c r="G2" s="98"/>
      <c r="H2" s="98"/>
      <c r="I2" s="98"/>
      <c r="J2" s="98"/>
      <c r="K2" s="98"/>
      <c r="L2" s="98"/>
      <c r="M2" s="557" t="s">
        <v>1310</v>
      </c>
      <c r="N2" s="555"/>
      <c r="O2" s="555"/>
      <c r="Q2" s="6"/>
      <c r="R2" s="6"/>
      <c r="S2" s="6"/>
    </row>
    <row r="3" spans="1:19" s="292" customFormat="1" ht="12.75" x14ac:dyDescent="0.2">
      <c r="A3" s="286"/>
      <c r="B3" s="287"/>
      <c r="C3" s="291"/>
      <c r="D3" s="288" t="s">
        <v>449</v>
      </c>
      <c r="E3" s="288" t="s">
        <v>1177</v>
      </c>
      <c r="F3" s="288" t="s">
        <v>439</v>
      </c>
      <c r="G3" s="288" t="s">
        <v>438</v>
      </c>
      <c r="H3" s="288" t="s">
        <v>1179</v>
      </c>
      <c r="I3" s="288" t="s">
        <v>1178</v>
      </c>
      <c r="J3" s="288" t="s">
        <v>436</v>
      </c>
      <c r="K3" s="288" t="s">
        <v>437</v>
      </c>
      <c r="L3" s="288" t="s">
        <v>1290</v>
      </c>
      <c r="M3" s="289"/>
      <c r="N3" s="289"/>
      <c r="O3" s="289"/>
      <c r="P3" s="290"/>
      <c r="Q3" s="291"/>
      <c r="R3" s="291"/>
      <c r="S3" s="291"/>
    </row>
    <row r="4" spans="1:19" s="303" customFormat="1" ht="12.75" x14ac:dyDescent="0.2">
      <c r="A4" s="293"/>
      <c r="B4" s="294"/>
      <c r="C4" s="302"/>
      <c r="D4" s="295">
        <f>COUNTIF(Vendas!B:B,"Entregue")</f>
        <v>151</v>
      </c>
      <c r="E4" s="295">
        <f>COUNTIF(Vendas!B:B,"Devolução")</f>
        <v>13</v>
      </c>
      <c r="F4" s="295">
        <f>COUNTIF(Vendas!B:B,"Cancelada")</f>
        <v>19</v>
      </c>
      <c r="G4" s="296">
        <f>COUNTIF(Vendas!B:B,"Reclamação")</f>
        <v>1</v>
      </c>
      <c r="H4" s="297">
        <f>SUMIF(Vendas!G2:G212,"&gt;0")</f>
        <v>85884.130000000034</v>
      </c>
      <c r="I4" s="298">
        <f>SUMIF(Vendas!H2:H212,"&lt;0")</f>
        <v>-11588.000000000002</v>
      </c>
      <c r="J4" s="299">
        <f>COUNTIF('Precificação de produto'!B:B,"Ativado")</f>
        <v>128</v>
      </c>
      <c r="K4" s="299">
        <f>COUNTIF('Precificação de produto'!B:B,"Pausado")</f>
        <v>48</v>
      </c>
      <c r="L4" s="299">
        <f>J4+K4</f>
        <v>176</v>
      </c>
      <c r="M4" s="300"/>
      <c r="N4" s="300"/>
      <c r="O4" s="300"/>
      <c r="P4" s="301"/>
      <c r="Q4" s="302"/>
      <c r="R4" s="302"/>
      <c r="S4" s="302"/>
    </row>
    <row r="5" spans="1:19" ht="15" x14ac:dyDescent="0.25">
      <c r="A5" s="215"/>
      <c r="B5" s="211"/>
      <c r="C5" s="6"/>
      <c r="D5" s="211"/>
      <c r="E5" s="285"/>
      <c r="F5" s="211"/>
      <c r="G5" s="211"/>
      <c r="H5" s="210"/>
      <c r="I5" s="212"/>
      <c r="J5" s="213"/>
      <c r="K5" s="213"/>
      <c r="L5" s="105"/>
      <c r="M5" s="102"/>
      <c r="N5" s="105"/>
      <c r="O5" s="105"/>
      <c r="P5" s="53"/>
      <c r="Q5" s="6"/>
      <c r="R5" s="6"/>
      <c r="S5" s="6"/>
    </row>
    <row r="6" spans="1:19" ht="18" customHeight="1" x14ac:dyDescent="0.25">
      <c r="A6" s="215"/>
      <c r="B6" s="211"/>
      <c r="C6" s="6"/>
      <c r="D6" s="562" t="s">
        <v>433</v>
      </c>
      <c r="E6" s="197" t="s">
        <v>435</v>
      </c>
      <c r="F6" s="198" t="s">
        <v>434</v>
      </c>
      <c r="G6" s="199" t="s">
        <v>441</v>
      </c>
      <c r="H6" s="200" t="s">
        <v>440</v>
      </c>
      <c r="I6" s="201" t="s">
        <v>443</v>
      </c>
      <c r="J6" s="202" t="s">
        <v>158</v>
      </c>
      <c r="K6" s="203" t="s">
        <v>442</v>
      </c>
      <c r="L6" s="105"/>
      <c r="M6" s="102"/>
      <c r="N6" s="105"/>
      <c r="O6" s="105"/>
      <c r="P6" s="53"/>
      <c r="Q6" s="6"/>
      <c r="R6" s="6"/>
      <c r="S6" s="6"/>
    </row>
    <row r="7" spans="1:19" ht="29.25" customHeight="1" x14ac:dyDescent="0.25">
      <c r="A7" s="215"/>
      <c r="B7" s="211"/>
      <c r="C7" s="6"/>
      <c r="D7" s="563"/>
      <c r="E7" s="237">
        <f ca="1">COUNTIF('Central de Promoções'!A:A,"Expirado")</f>
        <v>0</v>
      </c>
      <c r="F7" s="238">
        <f ca="1">COUNTIF('Central de Promoções'!A:A,"Expira hoje")</f>
        <v>24</v>
      </c>
      <c r="G7" s="238">
        <f ca="1">COUNTIF('Central de Promoções'!A:A,"Expira amanhã")</f>
        <v>0</v>
      </c>
      <c r="H7" s="238">
        <f ca="1">COUNTIF('Central de Promoções'!A:A,"Quase expirando")</f>
        <v>0</v>
      </c>
      <c r="I7" s="238">
        <f ca="1">COUNTIF('Central de Promoções'!A:A,"Programado")</f>
        <v>0</v>
      </c>
      <c r="J7" s="238">
        <f ca="1">COUNTIF('Central de Promoções'!A:A,"Ativado")</f>
        <v>63</v>
      </c>
      <c r="K7" s="559">
        <f>COUNTIF('Central de Promoções'!E4:E179,"")-K4</f>
        <v>41</v>
      </c>
      <c r="L7" s="105"/>
      <c r="M7" s="102"/>
      <c r="N7" s="105"/>
      <c r="O7" s="105"/>
      <c r="P7" s="53"/>
      <c r="Q7" s="6"/>
      <c r="R7" s="6"/>
      <c r="S7" s="6"/>
    </row>
    <row r="8" spans="1:19" ht="25.5" customHeight="1" x14ac:dyDescent="0.25">
      <c r="A8" s="216"/>
      <c r="B8" s="448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5"/>
      <c r="O8" s="105"/>
      <c r="P8" s="311"/>
      <c r="Q8" s="6"/>
      <c r="R8" s="6"/>
      <c r="S8" s="6"/>
    </row>
    <row r="9" spans="1:19" ht="15" x14ac:dyDescent="0.25">
      <c r="A9" s="216"/>
      <c r="B9" s="448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5"/>
      <c r="O9" s="105"/>
      <c r="P9" s="553"/>
      <c r="Q9" s="53"/>
      <c r="R9" s="6"/>
      <c r="S9" s="6"/>
    </row>
    <row r="10" spans="1:19" ht="15" x14ac:dyDescent="0.25">
      <c r="A10" s="216"/>
      <c r="B10" s="448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5"/>
      <c r="O10" s="105"/>
      <c r="P10" s="553"/>
      <c r="Q10" s="53"/>
      <c r="R10" s="6"/>
      <c r="S10" s="6"/>
    </row>
    <row r="11" spans="1:19" ht="15" x14ac:dyDescent="0.25">
      <c r="A11" s="215"/>
      <c r="B11" s="448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2"/>
      <c r="O11" s="102"/>
      <c r="P11" s="553"/>
      <c r="Q11" s="53"/>
      <c r="R11" s="6"/>
      <c r="S11" s="6"/>
    </row>
    <row r="12" spans="1:19" ht="15" x14ac:dyDescent="0.25">
      <c r="A12" s="216"/>
      <c r="B12" s="448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2"/>
      <c r="O12" s="102"/>
      <c r="P12" s="553"/>
      <c r="Q12" s="53"/>
      <c r="R12" s="6"/>
      <c r="S12" s="6"/>
    </row>
    <row r="13" spans="1:19" ht="15" x14ac:dyDescent="0.25">
      <c r="A13" s="215"/>
      <c r="B13" s="448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2"/>
      <c r="O13" s="102"/>
      <c r="P13" s="553"/>
      <c r="Q13" s="53"/>
      <c r="R13" s="6"/>
      <c r="S13" s="6"/>
    </row>
    <row r="14" spans="1:19" ht="15" x14ac:dyDescent="0.25">
      <c r="A14" s="216"/>
      <c r="B14" s="448"/>
      <c r="C14" s="103"/>
      <c r="D14" s="103"/>
      <c r="E14" s="103"/>
      <c r="F14" s="558"/>
      <c r="G14" s="103"/>
      <c r="H14" s="103"/>
      <c r="I14" s="103"/>
      <c r="J14" s="103"/>
      <c r="K14" s="103"/>
      <c r="L14" s="103"/>
      <c r="M14" s="103"/>
      <c r="N14" s="102"/>
      <c r="O14" s="102"/>
      <c r="P14" s="553"/>
      <c r="Q14" s="53"/>
      <c r="R14" s="6"/>
      <c r="S14" s="6"/>
    </row>
    <row r="15" spans="1:19" ht="15" x14ac:dyDescent="0.25">
      <c r="A15" s="216"/>
      <c r="B15" s="448"/>
      <c r="C15" s="103"/>
      <c r="D15" s="103"/>
      <c r="E15" s="103"/>
      <c r="F15" s="558"/>
      <c r="G15" s="103"/>
      <c r="H15" s="103"/>
      <c r="I15" s="103"/>
      <c r="J15" s="103"/>
      <c r="K15" s="103"/>
      <c r="L15" s="103"/>
      <c r="M15" s="103"/>
      <c r="N15" s="102"/>
      <c r="O15" s="102"/>
      <c r="P15" s="553"/>
      <c r="Q15" s="53"/>
      <c r="R15" s="6"/>
      <c r="S15" s="6"/>
    </row>
    <row r="16" spans="1:19" ht="15" x14ac:dyDescent="0.25">
      <c r="A16" s="216"/>
      <c r="B16" s="448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2"/>
      <c r="O16" s="102"/>
      <c r="P16" s="553"/>
      <c r="Q16" s="53"/>
      <c r="R16" s="6"/>
      <c r="S16" s="6"/>
    </row>
    <row r="17" spans="1:19" ht="15" x14ac:dyDescent="0.25">
      <c r="A17" s="216"/>
      <c r="B17" s="448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2"/>
      <c r="O17" s="102"/>
      <c r="P17" s="553"/>
      <c r="Q17" s="53"/>
      <c r="R17" s="6"/>
      <c r="S17" s="6"/>
    </row>
    <row r="18" spans="1:19" ht="15" x14ac:dyDescent="0.25">
      <c r="A18" s="216"/>
      <c r="B18" s="448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2"/>
      <c r="O18" s="102"/>
      <c r="P18" s="553"/>
      <c r="Q18" s="53"/>
      <c r="R18" s="6"/>
      <c r="S18" s="6"/>
    </row>
    <row r="19" spans="1:19" ht="30.75" customHeight="1" x14ac:dyDescent="0.25">
      <c r="A19" s="216"/>
      <c r="B19" s="448"/>
      <c r="C19" s="103"/>
      <c r="D19" s="103"/>
      <c r="E19" s="103"/>
      <c r="F19" s="103"/>
      <c r="G19" s="102"/>
      <c r="H19" s="103"/>
      <c r="I19" s="103"/>
      <c r="J19" s="103"/>
      <c r="K19" s="103"/>
      <c r="L19" s="103"/>
      <c r="M19" s="103"/>
      <c r="N19" s="102"/>
      <c r="O19" s="102"/>
      <c r="P19" s="553"/>
      <c r="Q19" s="53"/>
      <c r="R19" s="6"/>
      <c r="S19" s="6"/>
    </row>
    <row r="20" spans="1:19" ht="18" customHeight="1" x14ac:dyDescent="0.25">
      <c r="A20" s="215"/>
      <c r="B20" s="448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554"/>
      <c r="O20" s="554"/>
      <c r="P20" s="554"/>
      <c r="Q20" s="53"/>
      <c r="R20" s="6"/>
      <c r="S20" s="6"/>
    </row>
    <row r="21" spans="1:19" ht="30.75" customHeight="1" x14ac:dyDescent="0.25">
      <c r="A21" s="216"/>
      <c r="B21" s="218"/>
      <c r="C21" s="218"/>
      <c r="D21" s="218"/>
      <c r="E21" s="218"/>
      <c r="F21" s="218"/>
      <c r="G21" s="212"/>
      <c r="H21" s="218"/>
      <c r="I21" s="218"/>
      <c r="J21" s="218"/>
      <c r="K21" s="338"/>
      <c r="L21" s="338"/>
      <c r="M21" s="101"/>
      <c r="N21" s="101"/>
      <c r="O21" s="102"/>
      <c r="P21" s="312"/>
      <c r="Q21" s="6"/>
      <c r="R21" s="6"/>
      <c r="S21" s="6"/>
    </row>
    <row r="22" spans="1:19" s="103" customFormat="1" ht="15" customHeight="1" x14ac:dyDescent="0.25">
      <c r="A22" s="217"/>
      <c r="B22" s="568" t="s">
        <v>1331</v>
      </c>
      <c r="C22" s="569"/>
      <c r="D22" s="569"/>
      <c r="E22" s="570"/>
      <c r="F22" s="420"/>
      <c r="G22" s="338"/>
      <c r="H22" s="338"/>
      <c r="I22" s="338"/>
      <c r="J22" s="338"/>
      <c r="K22" s="338"/>
      <c r="L22" s="338"/>
      <c r="M22" s="101"/>
      <c r="N22" s="101"/>
      <c r="O22" s="102"/>
      <c r="P22" s="154"/>
      <c r="Q22" s="155"/>
      <c r="R22" s="155"/>
      <c r="S22" s="155"/>
    </row>
    <row r="23" spans="1:19" s="103" customFormat="1" ht="30.75" customHeight="1" x14ac:dyDescent="0.25">
      <c r="A23" s="153"/>
      <c r="B23" s="564" t="s">
        <v>1332</v>
      </c>
      <c r="C23" s="565"/>
      <c r="D23" s="566" t="s">
        <v>1333</v>
      </c>
      <c r="E23" s="567"/>
      <c r="H23" s="340"/>
      <c r="K23" s="339"/>
      <c r="M23" s="101"/>
      <c r="P23"/>
      <c r="Q23" s="155"/>
      <c r="R23" s="155"/>
      <c r="S23" s="155"/>
    </row>
    <row r="24" spans="1:19" s="103" customFormat="1" ht="30.75" customHeight="1" x14ac:dyDescent="0.25">
      <c r="A24" s="153"/>
      <c r="B24" s="422" t="str">
        <f>COUNTIFS(
  Vendas!B$41:B460, "Entregue",
  Vendas!T$41:T460, "",
  Vendas!C$41:C460, "&gt;="&amp;DATE(2025,8,1)
) &amp; " Venda(s)"</f>
        <v>1 Venda(s)</v>
      </c>
      <c r="C24" s="419"/>
      <c r="D24" s="429">
        <f>COUNTIFS(Vendas!B$41:B460, "Cancelado", Vendas!T$41:T460, "&lt;&gt;") +
 COUNTIFS(Vendas!B$41:B460, "Devolução", Vendas!T$41:T460, "&lt;&gt;") +
 COUNTIFS(Vendas!B$41:B460, "Reclamação", Vendas!T$41:T460, "&lt;&gt;")</f>
        <v>5</v>
      </c>
      <c r="E24" s="430"/>
      <c r="H24" s="339"/>
      <c r="I24" s="335"/>
      <c r="L24" s="336"/>
      <c r="M24" s="336"/>
      <c r="N24" s="155"/>
      <c r="O24" s="28"/>
      <c r="Q24" s="154"/>
      <c r="R24" s="155"/>
      <c r="S24" s="155"/>
    </row>
    <row r="25" spans="1:19" s="103" customFormat="1" ht="30.75" customHeight="1" x14ac:dyDescent="0.25">
      <c r="A25" s="153"/>
      <c r="B25" s="423"/>
      <c r="C25" s="424"/>
      <c r="D25" s="425"/>
      <c r="E25" s="426"/>
      <c r="F25" s="337"/>
      <c r="G25" s="336"/>
      <c r="H25" s="336"/>
      <c r="I25" s="336"/>
      <c r="J25" s="339"/>
      <c r="K25" s="336"/>
      <c r="L25" s="336"/>
      <c r="M25" s="336"/>
      <c r="N25" s="155"/>
      <c r="O25" s="155"/>
      <c r="P25" s="28"/>
      <c r="Q25" s="154"/>
      <c r="R25" s="155"/>
      <c r="S25" s="155"/>
    </row>
    <row r="26" spans="1:19" s="103" customFormat="1" ht="30.75" customHeight="1" x14ac:dyDescent="0.25">
      <c r="A26" s="153"/>
      <c r="B26" s="421"/>
      <c r="C26" s="419"/>
      <c r="D26" s="421"/>
      <c r="E26" s="421"/>
      <c r="F26" s="336" t="s">
        <v>1393</v>
      </c>
      <c r="G26" s="336"/>
      <c r="H26" s="336"/>
      <c r="I26" s="336"/>
      <c r="J26" s="339"/>
      <c r="K26" s="336"/>
      <c r="L26" s="336"/>
      <c r="M26" s="336"/>
      <c r="N26" s="155"/>
      <c r="O26" s="155"/>
      <c r="P26" s="28"/>
      <c r="Q26" s="154"/>
      <c r="R26" s="155"/>
      <c r="S26" s="155"/>
    </row>
    <row r="27" spans="1:19" s="103" customFormat="1" ht="30.75" customHeight="1" x14ac:dyDescent="0.25">
      <c r="A27" s="153"/>
      <c r="B27" s="561"/>
      <c r="C27" s="561"/>
      <c r="D27" s="561"/>
      <c r="E27" s="561"/>
      <c r="F27" s="561"/>
      <c r="G27" s="561"/>
      <c r="H27" s="561"/>
      <c r="I27" s="561"/>
      <c r="J27" s="561"/>
      <c r="K27" s="561"/>
      <c r="L27" s="552"/>
      <c r="M27" s="105"/>
      <c r="N27" s="155"/>
      <c r="O27" s="155"/>
      <c r="P27" s="28"/>
      <c r="Q27" s="154"/>
      <c r="R27" s="155"/>
      <c r="S27" s="155"/>
    </row>
    <row r="28" spans="1:19" s="103" customFormat="1" ht="30.75" customHeight="1" x14ac:dyDescent="0.25">
      <c r="A28" s="156"/>
      <c r="B28" s="104"/>
      <c r="C28" s="104"/>
      <c r="D28" s="104"/>
      <c r="E28" s="104"/>
      <c r="F28" s="104"/>
      <c r="G28" s="104"/>
      <c r="H28" s="219"/>
      <c r="I28" s="219"/>
      <c r="J28" s="219"/>
      <c r="K28" s="219"/>
      <c r="L28" s="213"/>
      <c r="M28" s="105"/>
      <c r="N28" s="155"/>
      <c r="O28" s="155"/>
      <c r="P28" s="28"/>
      <c r="Q28" s="154"/>
      <c r="R28" s="155"/>
      <c r="S28" s="155"/>
    </row>
    <row r="29" spans="1:19" s="103" customFormat="1" ht="30.75" customHeight="1" x14ac:dyDescent="0.25">
      <c r="A29" s="156"/>
      <c r="B29" s="104"/>
      <c r="C29" s="104"/>
      <c r="D29" s="104"/>
      <c r="E29" s="104"/>
      <c r="F29" s="104"/>
      <c r="G29" s="104"/>
      <c r="H29" s="219"/>
      <c r="I29" s="219"/>
      <c r="J29" s="219"/>
      <c r="K29" s="219"/>
      <c r="L29" s="213"/>
      <c r="M29" s="105"/>
      <c r="N29" s="155"/>
      <c r="O29" s="155"/>
      <c r="P29" s="28"/>
      <c r="Q29" s="154"/>
      <c r="R29" s="155"/>
      <c r="S29" s="155"/>
    </row>
    <row r="30" spans="1:19" s="103" customFormat="1" ht="30.75" customHeight="1" x14ac:dyDescent="0.25">
      <c r="A30" s="153"/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211"/>
      <c r="M30" s="102"/>
      <c r="N30" s="155"/>
      <c r="O30" s="155"/>
      <c r="P30" s="28"/>
      <c r="Q30" s="154"/>
      <c r="R30" s="155"/>
      <c r="S30" s="155"/>
    </row>
    <row r="31" spans="1:19" s="103" customFormat="1" ht="30.75" customHeight="1" x14ac:dyDescent="0.25">
      <c r="A31" s="156"/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211"/>
      <c r="M31" s="102"/>
      <c r="N31" s="155"/>
      <c r="O31" s="155"/>
      <c r="P31" s="28"/>
      <c r="Q31" s="154"/>
      <c r="R31" s="155"/>
      <c r="S31" s="155"/>
    </row>
    <row r="32" spans="1:19" s="103" customFormat="1" ht="30.75" customHeight="1" x14ac:dyDescent="0.25">
      <c r="A32" s="153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211"/>
      <c r="M32" s="102"/>
      <c r="N32" s="155"/>
      <c r="O32" s="155"/>
      <c r="P32" s="28"/>
      <c r="Q32" s="154"/>
      <c r="R32" s="155"/>
      <c r="S32" s="155"/>
    </row>
    <row r="33" spans="1:19" s="103" customFormat="1" ht="30.75" customHeight="1" x14ac:dyDescent="0.25">
      <c r="A33" s="153"/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211"/>
      <c r="M33" s="102"/>
      <c r="N33" s="155"/>
      <c r="O33" s="155"/>
      <c r="P33" s="28"/>
      <c r="Q33" s="154"/>
      <c r="R33" s="155"/>
      <c r="S33" s="155"/>
    </row>
    <row r="34" spans="1:19" s="103" customFormat="1" ht="30.75" customHeight="1" x14ac:dyDescent="0.25">
      <c r="A34" s="153"/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211"/>
      <c r="M34" s="102"/>
      <c r="N34" s="155"/>
      <c r="O34" s="155"/>
      <c r="P34" s="28"/>
      <c r="Q34" s="154"/>
      <c r="R34" s="155"/>
      <c r="S34" s="155"/>
    </row>
    <row r="35" spans="1:19" s="103" customFormat="1" ht="30.75" customHeight="1" x14ac:dyDescent="0.25">
      <c r="A35" s="153"/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211"/>
      <c r="M35" s="102"/>
      <c r="N35" s="155"/>
      <c r="O35" s="155"/>
      <c r="P35" s="28"/>
      <c r="Q35" s="154"/>
      <c r="R35" s="155"/>
      <c r="S35" s="155"/>
    </row>
    <row r="36" spans="1:19" s="103" customFormat="1" ht="30.75" customHeight="1" x14ac:dyDescent="0.25">
      <c r="A36" s="153"/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211"/>
      <c r="M36" s="102"/>
      <c r="N36" s="155"/>
      <c r="O36" s="155"/>
      <c r="P36" s="28"/>
      <c r="Q36" s="154"/>
      <c r="R36" s="155"/>
      <c r="S36" s="155"/>
    </row>
    <row r="37" spans="1:19" s="103" customFormat="1" ht="30.75" customHeight="1" x14ac:dyDescent="0.25">
      <c r="A37" s="156"/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211"/>
      <c r="M37" s="102"/>
      <c r="N37" s="155"/>
      <c r="O37" s="155"/>
      <c r="P37" s="28"/>
      <c r="Q37" s="154"/>
      <c r="R37" s="155"/>
      <c r="S37" s="155"/>
    </row>
    <row r="38" spans="1:19" s="103" customFormat="1" ht="30.75" customHeight="1" x14ac:dyDescent="0.25">
      <c r="A38" s="153"/>
      <c r="B38" s="219"/>
      <c r="C38" s="219"/>
      <c r="D38" s="219"/>
      <c r="E38" s="219"/>
      <c r="F38" s="219"/>
      <c r="G38" s="219"/>
      <c r="H38" s="104"/>
      <c r="I38" s="104"/>
      <c r="J38" s="104"/>
      <c r="K38" s="104"/>
      <c r="L38" s="211"/>
      <c r="M38" s="102"/>
      <c r="N38" s="155"/>
      <c r="O38" s="155"/>
      <c r="P38" s="28"/>
      <c r="Q38" s="154"/>
      <c r="R38" s="155"/>
      <c r="S38" s="155"/>
    </row>
    <row r="39" spans="1:19" s="103" customFormat="1" ht="30.75" customHeight="1" x14ac:dyDescent="0.25">
      <c r="A39" s="153"/>
      <c r="B39" s="561" t="s">
        <v>1288</v>
      </c>
      <c r="C39" s="561"/>
      <c r="D39" s="561"/>
      <c r="E39" s="561"/>
      <c r="F39" s="561" t="s">
        <v>1284</v>
      </c>
      <c r="G39" s="561"/>
      <c r="H39" s="561"/>
      <c r="I39" s="561"/>
      <c r="J39" s="561" t="s">
        <v>1287</v>
      </c>
      <c r="K39" s="561"/>
      <c r="L39" s="561"/>
      <c r="M39" s="561"/>
      <c r="N39" s="155"/>
      <c r="O39" s="155"/>
      <c r="P39" s="28"/>
      <c r="Q39" s="154"/>
      <c r="R39" s="155"/>
      <c r="S39" s="155"/>
    </row>
    <row r="40" spans="1:19" s="103" customFormat="1" ht="30.75" customHeight="1" x14ac:dyDescent="0.25">
      <c r="A40" s="153"/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155"/>
      <c r="O40" s="155"/>
      <c r="P40" s="28"/>
      <c r="Q40" s="154"/>
      <c r="R40" s="155"/>
      <c r="S40" s="155"/>
    </row>
    <row r="41" spans="1:19" s="103" customFormat="1" ht="30.75" customHeight="1" x14ac:dyDescent="0.25">
      <c r="A41" s="156"/>
      <c r="B41" s="336"/>
      <c r="C41" s="336"/>
      <c r="D41" s="336"/>
      <c r="E41" s="336"/>
      <c r="F41" s="336"/>
      <c r="G41" s="336"/>
      <c r="H41" s="336"/>
      <c r="I41" s="336"/>
      <c r="J41" s="336"/>
      <c r="K41" s="336"/>
      <c r="L41" s="336"/>
      <c r="M41" s="336"/>
      <c r="N41" s="155"/>
      <c r="O41" s="155"/>
      <c r="P41" s="155"/>
      <c r="Q41" s="154"/>
      <c r="R41" s="155"/>
      <c r="S41" s="155"/>
    </row>
    <row r="42" spans="1:19" s="103" customFormat="1" ht="30.75" customHeight="1" x14ac:dyDescent="0.25">
      <c r="A42" s="156"/>
      <c r="B42" s="336"/>
      <c r="C42" s="336"/>
      <c r="D42" s="336"/>
      <c r="E42" s="336"/>
      <c r="F42" s="336"/>
      <c r="G42" s="336"/>
      <c r="H42" s="336"/>
      <c r="I42" s="336"/>
      <c r="J42" s="336"/>
      <c r="K42" s="336"/>
      <c r="L42" s="336"/>
      <c r="M42" s="336"/>
      <c r="N42" s="155"/>
      <c r="O42" s="155"/>
      <c r="P42" s="155"/>
      <c r="Q42" s="154"/>
      <c r="R42" s="155"/>
      <c r="S42" s="155"/>
    </row>
    <row r="43" spans="1:19" s="103" customFormat="1" ht="30.75" customHeight="1" x14ac:dyDescent="0.25">
      <c r="A43" s="156"/>
      <c r="B43" s="336"/>
      <c r="C43" s="336"/>
      <c r="D43" s="336"/>
      <c r="E43" s="336"/>
      <c r="F43" s="336"/>
      <c r="G43" s="336"/>
      <c r="H43" s="336"/>
      <c r="I43" s="336"/>
      <c r="J43" s="336"/>
      <c r="K43" s="336"/>
      <c r="L43" s="336"/>
      <c r="M43" s="336"/>
      <c r="N43" s="155"/>
      <c r="O43" s="155"/>
      <c r="P43" s="155"/>
      <c r="Q43" s="154"/>
      <c r="R43" s="155"/>
      <c r="S43" s="155"/>
    </row>
    <row r="44" spans="1:19" s="103" customFormat="1" ht="30.75" customHeight="1" x14ac:dyDescent="0.25">
      <c r="A44" s="156"/>
      <c r="B44" s="336"/>
      <c r="C44" s="336"/>
      <c r="D44" s="336"/>
      <c r="E44" s="336"/>
      <c r="F44" s="336"/>
      <c r="G44" s="336"/>
      <c r="H44" s="336"/>
      <c r="I44" s="336"/>
      <c r="J44" s="336"/>
      <c r="K44" s="336"/>
      <c r="L44" s="336"/>
      <c r="M44" s="336"/>
      <c r="N44" s="28"/>
      <c r="O44" s="28"/>
      <c r="P44" s="155"/>
      <c r="Q44" s="154"/>
      <c r="R44" s="155"/>
      <c r="S44" s="155"/>
    </row>
    <row r="45" spans="1:19" s="103" customFormat="1" ht="30.75" customHeight="1" x14ac:dyDescent="0.25">
      <c r="A45" s="153"/>
      <c r="B45" s="336"/>
      <c r="C45" s="336"/>
      <c r="D45" s="336"/>
      <c r="E45" s="336"/>
      <c r="F45" s="336"/>
      <c r="G45" s="336"/>
      <c r="H45" s="336"/>
      <c r="I45" s="336"/>
      <c r="J45" s="336"/>
      <c r="K45" s="336"/>
      <c r="L45" s="336"/>
      <c r="M45" s="336"/>
      <c r="N45" s="28"/>
      <c r="O45" s="155"/>
      <c r="P45" s="155"/>
      <c r="Q45" s="154"/>
      <c r="R45" s="155"/>
      <c r="S45" s="155"/>
    </row>
    <row r="46" spans="1:19" s="103" customFormat="1" ht="30.75" customHeight="1" x14ac:dyDescent="0.25">
      <c r="A46" s="156"/>
      <c r="B46" s="336"/>
      <c r="C46" s="336"/>
      <c r="D46" s="336"/>
      <c r="E46" s="336"/>
      <c r="F46" s="336"/>
      <c r="G46" s="336"/>
      <c r="H46" s="336"/>
      <c r="I46" s="336"/>
      <c r="J46" s="336"/>
      <c r="K46" s="336"/>
      <c r="L46" s="336"/>
      <c r="M46" s="336"/>
      <c r="N46" s="28"/>
      <c r="O46" s="155"/>
      <c r="P46" s="155"/>
      <c r="Q46" s="154"/>
      <c r="R46" s="155"/>
      <c r="S46" s="155"/>
    </row>
    <row r="47" spans="1:19" s="103" customFormat="1" ht="30.75" customHeight="1" x14ac:dyDescent="0.25">
      <c r="A47" s="156"/>
      <c r="B47" s="336"/>
      <c r="C47" s="336"/>
      <c r="D47" s="336"/>
      <c r="E47" s="336"/>
      <c r="F47" s="336"/>
      <c r="G47" s="336"/>
      <c r="H47" s="336"/>
      <c r="I47" s="336"/>
      <c r="J47" s="336"/>
      <c r="K47" s="336"/>
      <c r="L47" s="336"/>
      <c r="M47" s="336"/>
      <c r="N47" s="28"/>
      <c r="O47" s="155"/>
      <c r="P47" s="155"/>
      <c r="Q47" s="154"/>
      <c r="R47" s="155"/>
      <c r="S47" s="155"/>
    </row>
    <row r="48" spans="1:19" s="103" customFormat="1" ht="15" x14ac:dyDescent="0.25">
      <c r="A48" s="156"/>
      <c r="B48" s="336"/>
      <c r="C48" s="336"/>
      <c r="D48" s="336"/>
      <c r="E48" s="336"/>
      <c r="F48" s="336"/>
      <c r="G48" s="336"/>
      <c r="H48" s="336"/>
      <c r="I48" s="336"/>
      <c r="J48" s="336"/>
      <c r="K48" s="336"/>
      <c r="L48" s="336"/>
      <c r="M48" s="336"/>
      <c r="N48" s="28"/>
      <c r="O48" s="155"/>
      <c r="P48" s="155"/>
      <c r="Q48" s="154"/>
      <c r="R48" s="155"/>
      <c r="S48" s="155"/>
    </row>
    <row r="49" spans="1:19" s="103" customFormat="1" ht="15" x14ac:dyDescent="0.25">
      <c r="A49" s="156"/>
      <c r="B49" s="336"/>
      <c r="C49" s="336"/>
      <c r="D49" s="336"/>
      <c r="E49" s="336"/>
      <c r="F49" s="336"/>
      <c r="G49" s="336"/>
      <c r="H49" s="336"/>
      <c r="I49" s="336"/>
      <c r="J49" s="336"/>
      <c r="K49" s="336"/>
      <c r="L49" s="336"/>
      <c r="M49" s="336"/>
      <c r="N49" s="28"/>
      <c r="O49" s="155"/>
      <c r="P49" s="155"/>
      <c r="Q49" s="154"/>
      <c r="R49" s="155"/>
      <c r="S49" s="155"/>
    </row>
    <row r="50" spans="1:19" s="103" customFormat="1" ht="15" x14ac:dyDescent="0.25">
      <c r="A50" s="156"/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28"/>
      <c r="O50" s="155"/>
      <c r="P50" s="155"/>
      <c r="Q50" s="154"/>
      <c r="R50" s="155"/>
      <c r="S50" s="155"/>
    </row>
    <row r="51" spans="1:19" s="103" customFormat="1" ht="15" x14ac:dyDescent="0.25">
      <c r="A51" s="156"/>
      <c r="B51" s="336"/>
      <c r="C51" s="336"/>
      <c r="D51" s="336"/>
      <c r="E51" s="336"/>
      <c r="F51" s="336"/>
      <c r="G51" s="336"/>
      <c r="H51" s="336"/>
      <c r="I51" s="336"/>
      <c r="J51" s="336"/>
      <c r="K51" s="336"/>
      <c r="L51" s="336"/>
      <c r="M51" s="336"/>
      <c r="N51" s="28"/>
      <c r="O51" s="155"/>
      <c r="P51" s="155"/>
      <c r="Q51" s="154"/>
      <c r="R51" s="155"/>
      <c r="S51" s="155"/>
    </row>
    <row r="52" spans="1:19" s="103" customFormat="1" ht="15" x14ac:dyDescent="0.25">
      <c r="A52" s="156"/>
      <c r="B52" s="336"/>
      <c r="C52" s="336"/>
      <c r="D52" s="336"/>
      <c r="E52" s="336"/>
      <c r="F52" s="336"/>
      <c r="G52" s="336"/>
      <c r="H52" s="336"/>
      <c r="I52" s="336"/>
      <c r="J52" s="336"/>
      <c r="K52" s="336"/>
      <c r="L52" s="336"/>
      <c r="M52" s="336"/>
      <c r="N52" s="28"/>
      <c r="O52" s="155"/>
      <c r="P52" s="155"/>
      <c r="Q52" s="154"/>
      <c r="R52" s="155"/>
      <c r="S52" s="155"/>
    </row>
    <row r="53" spans="1:19" s="103" customFormat="1" ht="15" x14ac:dyDescent="0.25">
      <c r="A53" s="153"/>
      <c r="B53" s="336"/>
      <c r="C53" s="336"/>
      <c r="D53" s="336"/>
      <c r="E53" s="336"/>
      <c r="F53" s="336"/>
      <c r="G53" s="336"/>
      <c r="H53" s="336"/>
      <c r="I53" s="336"/>
      <c r="J53" s="336"/>
      <c r="K53" s="336"/>
      <c r="L53" s="336"/>
      <c r="M53" s="336"/>
      <c r="N53" s="28"/>
      <c r="O53" s="155"/>
      <c r="P53" s="155"/>
      <c r="Q53" s="154"/>
      <c r="R53" s="155"/>
      <c r="S53" s="155"/>
    </row>
    <row r="54" spans="1:19" s="103" customFormat="1" ht="15" x14ac:dyDescent="0.25">
      <c r="A54" s="153"/>
      <c r="B54" s="336"/>
      <c r="C54" s="336"/>
      <c r="D54" s="336"/>
      <c r="E54" s="336"/>
      <c r="F54" s="336"/>
      <c r="G54" s="336"/>
      <c r="H54" s="336"/>
      <c r="I54" s="336"/>
      <c r="J54" s="336"/>
      <c r="K54" s="336"/>
      <c r="L54" s="336"/>
      <c r="M54" s="336"/>
      <c r="N54" s="28"/>
      <c r="O54" s="155"/>
      <c r="P54" s="155"/>
      <c r="Q54" s="154"/>
      <c r="R54" s="155"/>
      <c r="S54" s="155"/>
    </row>
    <row r="55" spans="1:19" s="103" customFormat="1" ht="15" x14ac:dyDescent="0.25">
      <c r="A55" s="156"/>
      <c r="B55" s="336"/>
      <c r="C55" s="336"/>
      <c r="D55" s="336"/>
      <c r="E55" s="336"/>
      <c r="F55" s="336"/>
      <c r="G55" s="336"/>
      <c r="H55" s="336"/>
      <c r="I55" s="336"/>
      <c r="J55" s="336"/>
      <c r="K55" s="336"/>
      <c r="L55" s="336"/>
      <c r="M55" s="336"/>
      <c r="N55" s="28"/>
      <c r="O55" s="155"/>
      <c r="P55" s="155"/>
      <c r="Q55" s="154"/>
      <c r="R55" s="155"/>
      <c r="S55" s="155"/>
    </row>
    <row r="56" spans="1:19" s="103" customFormat="1" ht="15" x14ac:dyDescent="0.25">
      <c r="A56" s="156"/>
      <c r="B56" s="336"/>
      <c r="C56" s="336"/>
      <c r="D56" s="336"/>
      <c r="E56" s="336"/>
      <c r="F56" s="336"/>
      <c r="G56" s="336"/>
      <c r="H56" s="336"/>
      <c r="I56" s="336"/>
      <c r="J56" s="336"/>
      <c r="K56" s="336"/>
      <c r="L56" s="336"/>
      <c r="M56" s="336"/>
      <c r="N56" s="28"/>
      <c r="O56" s="155"/>
      <c r="P56" s="155"/>
      <c r="Q56" s="154"/>
      <c r="R56" s="155"/>
      <c r="S56" s="155"/>
    </row>
    <row r="57" spans="1:19" s="103" customFormat="1" ht="15" x14ac:dyDescent="0.25">
      <c r="A57" s="156"/>
      <c r="B57" s="336"/>
      <c r="C57" s="336"/>
      <c r="D57" s="336"/>
      <c r="E57" s="336"/>
      <c r="F57" s="336"/>
      <c r="G57" s="336"/>
      <c r="H57" s="336"/>
      <c r="I57" s="336"/>
      <c r="J57" s="336"/>
      <c r="K57" s="336"/>
      <c r="L57" s="336"/>
      <c r="M57" s="336"/>
      <c r="N57" s="28"/>
      <c r="O57" s="155"/>
      <c r="P57" s="155"/>
      <c r="Q57" s="154"/>
      <c r="R57" s="155"/>
      <c r="S57" s="155"/>
    </row>
    <row r="58" spans="1:19" s="103" customFormat="1" ht="15" x14ac:dyDescent="0.25">
      <c r="A58" s="156"/>
      <c r="B58" s="336"/>
      <c r="C58" s="336"/>
      <c r="D58" s="336"/>
      <c r="E58" s="336"/>
      <c r="F58" s="336"/>
      <c r="G58" s="336"/>
      <c r="H58" s="336"/>
      <c r="I58" s="336"/>
      <c r="J58" s="336"/>
      <c r="K58" s="336"/>
      <c r="L58" s="336"/>
      <c r="M58" s="336"/>
      <c r="N58" s="28"/>
      <c r="O58" s="155"/>
      <c r="P58" s="155"/>
      <c r="Q58" s="154"/>
      <c r="R58" s="155"/>
      <c r="S58" s="155"/>
    </row>
    <row r="59" spans="1:19" s="103" customFormat="1" ht="15" x14ac:dyDescent="0.25">
      <c r="A59" s="153"/>
      <c r="B59" s="155"/>
      <c r="C59" s="155"/>
      <c r="D59" s="155"/>
      <c r="E59" s="155"/>
      <c r="F59" s="155"/>
      <c r="G59" s="155"/>
      <c r="H59" s="155"/>
      <c r="I59" s="336"/>
      <c r="J59" s="336"/>
      <c r="K59" s="336"/>
      <c r="L59" s="336"/>
      <c r="M59" s="336"/>
      <c r="N59" s="28"/>
      <c r="O59" s="155"/>
      <c r="P59" s="155"/>
      <c r="Q59" s="154"/>
      <c r="R59" s="155"/>
      <c r="S59" s="155"/>
    </row>
    <row r="60" spans="1:19" s="103" customFormat="1" ht="15" x14ac:dyDescent="0.25">
      <c r="A60" s="153"/>
      <c r="B60" s="155"/>
      <c r="C60" s="155"/>
      <c r="D60" s="155"/>
      <c r="E60" s="155"/>
      <c r="F60" s="155"/>
      <c r="G60" s="155"/>
      <c r="H60" s="155"/>
      <c r="I60" s="336"/>
      <c r="J60" s="336"/>
      <c r="K60" s="336"/>
      <c r="L60" s="336"/>
      <c r="M60" s="336"/>
      <c r="N60" s="28"/>
      <c r="O60" s="155"/>
      <c r="P60" s="155"/>
      <c r="Q60" s="154"/>
      <c r="R60" s="155"/>
      <c r="S60" s="155"/>
    </row>
    <row r="61" spans="1:19" s="103" customFormat="1" ht="15" x14ac:dyDescent="0.25">
      <c r="A61" s="153"/>
      <c r="B61" s="155"/>
      <c r="C61" s="155"/>
      <c r="D61" s="155"/>
      <c r="E61" s="155"/>
      <c r="F61" s="155"/>
      <c r="G61" s="155"/>
      <c r="H61" s="155"/>
      <c r="I61" s="336"/>
      <c r="J61" s="336"/>
      <c r="K61" s="336"/>
      <c r="L61" s="336"/>
      <c r="M61" s="336"/>
      <c r="N61" s="28"/>
      <c r="O61" s="155"/>
      <c r="P61" s="155"/>
      <c r="Q61" s="154"/>
      <c r="R61" s="155"/>
      <c r="S61" s="155"/>
    </row>
    <row r="62" spans="1:19" s="103" customFormat="1" ht="15" x14ac:dyDescent="0.25">
      <c r="A62" s="156"/>
      <c r="B62" s="155"/>
      <c r="C62" s="155"/>
      <c r="D62" s="155"/>
      <c r="E62" s="155"/>
      <c r="F62" s="155"/>
      <c r="G62" s="155"/>
      <c r="H62" s="155"/>
      <c r="I62" s="28"/>
      <c r="J62" s="28"/>
      <c r="K62" s="28"/>
      <c r="L62" s="28"/>
      <c r="M62" s="28"/>
      <c r="N62" s="28"/>
      <c r="O62" s="155"/>
      <c r="P62" s="155"/>
      <c r="Q62" s="154"/>
      <c r="R62" s="155"/>
      <c r="S62" s="155"/>
    </row>
    <row r="63" spans="1:19" s="103" customFormat="1" ht="15" x14ac:dyDescent="0.25">
      <c r="A63" s="153"/>
      <c r="B63" s="155"/>
      <c r="C63" s="155"/>
      <c r="D63" s="155"/>
      <c r="E63" s="155"/>
      <c r="F63" s="155"/>
      <c r="G63" s="155"/>
      <c r="H63" s="155"/>
      <c r="I63" s="28"/>
      <c r="J63" s="28"/>
      <c r="K63" s="28"/>
      <c r="L63" s="28"/>
      <c r="M63" s="28"/>
      <c r="N63" s="28"/>
      <c r="O63" s="155"/>
      <c r="P63" s="155"/>
      <c r="Q63" s="154"/>
      <c r="R63" s="155"/>
      <c r="S63" s="155"/>
    </row>
    <row r="64" spans="1:19" s="103" customFormat="1" ht="15" x14ac:dyDescent="0.25">
      <c r="A64" s="153"/>
      <c r="B64" s="155"/>
      <c r="C64" s="155"/>
      <c r="D64" s="155"/>
      <c r="E64" s="155"/>
      <c r="F64" s="155"/>
      <c r="G64" s="155"/>
      <c r="H64" s="155"/>
      <c r="I64" s="28"/>
      <c r="J64" s="28"/>
      <c r="K64" s="28"/>
      <c r="L64" s="28"/>
      <c r="M64" s="28"/>
      <c r="N64" s="28"/>
      <c r="O64" s="155"/>
      <c r="P64" s="155"/>
      <c r="Q64" s="154"/>
      <c r="R64" s="155"/>
      <c r="S64" s="155"/>
    </row>
    <row r="65" spans="1:19" s="103" customFormat="1" ht="15" x14ac:dyDescent="0.25">
      <c r="A65" s="156"/>
      <c r="B65" s="155"/>
      <c r="C65" s="155"/>
      <c r="D65" s="155"/>
      <c r="E65" s="155"/>
      <c r="F65" s="155"/>
      <c r="G65" s="155"/>
      <c r="H65" s="155"/>
      <c r="I65" s="28"/>
      <c r="J65" s="28"/>
      <c r="K65" s="28"/>
      <c r="L65" s="28"/>
      <c r="M65" s="28"/>
      <c r="N65" s="28"/>
      <c r="O65" s="155"/>
      <c r="P65" s="155"/>
      <c r="Q65" s="154"/>
      <c r="R65" s="155"/>
      <c r="S65" s="155"/>
    </row>
    <row r="66" spans="1:19" s="103" customFormat="1" ht="15" x14ac:dyDescent="0.25">
      <c r="A66" s="156"/>
      <c r="B66" s="155"/>
      <c r="C66" s="155"/>
      <c r="D66" s="155"/>
      <c r="E66" s="155"/>
      <c r="F66" s="155"/>
      <c r="G66" s="155"/>
      <c r="H66" s="155"/>
      <c r="I66" s="28"/>
      <c r="J66" s="28"/>
      <c r="K66" s="28"/>
      <c r="L66" s="28"/>
      <c r="M66" s="28"/>
      <c r="N66" s="28"/>
      <c r="O66" s="155"/>
      <c r="P66" s="155"/>
      <c r="Q66" s="154"/>
      <c r="R66" s="155"/>
      <c r="S66" s="155"/>
    </row>
    <row r="67" spans="1:19" s="103" customFormat="1" ht="15" x14ac:dyDescent="0.25">
      <c r="A67" s="153"/>
      <c r="B67" s="155"/>
      <c r="C67" s="155"/>
      <c r="D67" s="155"/>
      <c r="E67" s="155"/>
      <c r="F67" s="155"/>
      <c r="G67" s="155"/>
      <c r="H67" s="155"/>
      <c r="I67" s="28"/>
      <c r="J67" s="28"/>
      <c r="K67" s="28"/>
      <c r="L67" s="28"/>
      <c r="M67" s="28"/>
      <c r="N67" s="28"/>
      <c r="O67" s="155"/>
      <c r="P67" s="155"/>
      <c r="Q67" s="154"/>
      <c r="R67" s="155"/>
      <c r="S67" s="155"/>
    </row>
    <row r="68" spans="1:19" s="103" customFormat="1" ht="15" x14ac:dyDescent="0.25">
      <c r="A68" s="153"/>
      <c r="B68" s="155"/>
      <c r="C68" s="155"/>
      <c r="D68" s="155"/>
      <c r="E68" s="155"/>
      <c r="F68" s="155"/>
      <c r="G68" s="155"/>
      <c r="H68" s="155"/>
      <c r="I68" s="28"/>
      <c r="J68" s="28"/>
      <c r="K68" s="28"/>
      <c r="L68" s="28"/>
      <c r="M68" s="28"/>
      <c r="N68" s="28"/>
      <c r="O68" s="155"/>
      <c r="P68" s="155"/>
      <c r="Q68" s="154"/>
      <c r="R68" s="155"/>
      <c r="S68" s="155"/>
    </row>
    <row r="69" spans="1:19" s="103" customFormat="1" ht="15" x14ac:dyDescent="0.25">
      <c r="A69" s="156"/>
      <c r="B69" s="155"/>
      <c r="C69" s="155"/>
      <c r="D69" s="155"/>
      <c r="E69" s="155"/>
      <c r="F69" s="155"/>
      <c r="G69" s="155"/>
      <c r="H69" s="155"/>
      <c r="I69" s="28"/>
      <c r="J69" s="28"/>
      <c r="K69" s="28"/>
      <c r="L69" s="28"/>
      <c r="M69" s="28"/>
      <c r="N69" s="28"/>
      <c r="O69" s="155"/>
      <c r="P69" s="155"/>
      <c r="Q69" s="154"/>
      <c r="R69" s="155"/>
      <c r="S69" s="155"/>
    </row>
    <row r="70" spans="1:19" s="103" customFormat="1" ht="15" x14ac:dyDescent="0.25">
      <c r="A70" s="153"/>
      <c r="B70" s="155"/>
      <c r="C70" s="155"/>
      <c r="D70" s="155"/>
      <c r="E70" s="155"/>
      <c r="F70" s="155"/>
      <c r="G70" s="155"/>
      <c r="H70" s="155"/>
      <c r="I70" s="28"/>
      <c r="J70" s="28"/>
      <c r="K70" s="28"/>
      <c r="L70" s="28"/>
      <c r="M70" s="28"/>
      <c r="N70" s="28"/>
      <c r="O70" s="155"/>
      <c r="P70" s="155"/>
      <c r="Q70" s="154"/>
      <c r="R70" s="155"/>
      <c r="S70" s="155"/>
    </row>
    <row r="71" spans="1:19" s="103" customFormat="1" ht="15" x14ac:dyDescent="0.25">
      <c r="A71" s="156"/>
      <c r="B71" s="155"/>
      <c r="C71" s="155"/>
      <c r="D71" s="155"/>
      <c r="E71" s="155"/>
      <c r="F71" s="155"/>
      <c r="G71" s="155"/>
      <c r="H71" s="155"/>
      <c r="I71" s="159"/>
      <c r="J71" s="336"/>
      <c r="K71" s="336"/>
      <c r="L71" s="336"/>
      <c r="M71" s="336"/>
      <c r="N71" s="28"/>
      <c r="O71" s="155"/>
      <c r="P71" s="155"/>
      <c r="Q71" s="154"/>
      <c r="R71" s="155"/>
      <c r="S71" s="155"/>
    </row>
    <row r="72" spans="1:19" s="103" customFormat="1" ht="15" x14ac:dyDescent="0.25">
      <c r="A72" s="156"/>
      <c r="B72" s="155"/>
      <c r="C72" s="155"/>
      <c r="D72" s="155"/>
      <c r="E72" s="155"/>
      <c r="F72" s="155"/>
      <c r="G72" s="155"/>
      <c r="H72" s="155"/>
      <c r="I72" s="159"/>
      <c r="J72" s="336"/>
      <c r="K72" s="336"/>
      <c r="L72" s="336"/>
      <c r="M72" s="336"/>
      <c r="N72" s="28"/>
      <c r="O72" s="155"/>
      <c r="P72" s="155"/>
      <c r="Q72" s="154"/>
      <c r="R72" s="155"/>
      <c r="S72" s="155"/>
    </row>
    <row r="73" spans="1:19" s="103" customFormat="1" ht="15" x14ac:dyDescent="0.25">
      <c r="A73" s="156"/>
      <c r="B73" s="155"/>
      <c r="C73" s="155"/>
      <c r="D73" s="155"/>
      <c r="E73" s="155"/>
      <c r="F73" s="155"/>
      <c r="G73" s="155"/>
      <c r="H73" s="155"/>
      <c r="I73" s="159"/>
      <c r="J73" s="336"/>
      <c r="K73" s="336"/>
      <c r="L73" s="336"/>
      <c r="M73" s="336"/>
      <c r="N73" s="28"/>
      <c r="O73" s="155"/>
      <c r="P73" s="155"/>
      <c r="Q73" s="154"/>
      <c r="R73" s="155"/>
      <c r="S73" s="155"/>
    </row>
    <row r="74" spans="1:19" s="103" customFormat="1" ht="15" x14ac:dyDescent="0.25">
      <c r="A74" s="156"/>
      <c r="B74" s="155"/>
      <c r="C74" s="155"/>
      <c r="D74" s="155"/>
      <c r="E74" s="155"/>
      <c r="F74" s="155"/>
      <c r="G74" s="155"/>
      <c r="H74" s="155"/>
      <c r="I74" s="159"/>
      <c r="J74" s="336"/>
      <c r="K74" s="336"/>
      <c r="L74" s="336"/>
      <c r="M74" s="336"/>
      <c r="N74" s="28"/>
      <c r="O74" s="155"/>
      <c r="P74" s="155"/>
      <c r="Q74" s="154"/>
      <c r="R74" s="155"/>
      <c r="S74" s="155"/>
    </row>
    <row r="75" spans="1:19" s="103" customFormat="1" ht="15" x14ac:dyDescent="0.25">
      <c r="A75" s="156"/>
      <c r="B75" s="155"/>
      <c r="C75" s="155"/>
      <c r="D75" s="155"/>
      <c r="E75" s="155"/>
      <c r="F75" s="155"/>
      <c r="G75" s="155"/>
      <c r="H75" s="155"/>
      <c r="I75" s="159"/>
      <c r="J75" s="336"/>
      <c r="K75" s="336"/>
      <c r="L75" s="336"/>
      <c r="M75" s="336"/>
      <c r="N75" s="336"/>
      <c r="O75" s="155"/>
      <c r="P75" s="155"/>
      <c r="Q75" s="154"/>
      <c r="R75" s="155"/>
      <c r="S75" s="155"/>
    </row>
    <row r="76" spans="1:19" s="103" customFormat="1" ht="15" x14ac:dyDescent="0.25">
      <c r="A76" s="156"/>
      <c r="B76" s="155"/>
      <c r="C76" s="155"/>
      <c r="D76" s="155"/>
      <c r="E76" s="155"/>
      <c r="F76" s="155"/>
      <c r="G76" s="155"/>
      <c r="H76" s="155"/>
      <c r="I76" s="159"/>
      <c r="J76" s="336"/>
      <c r="K76" s="336"/>
      <c r="L76" s="336"/>
      <c r="M76" s="336"/>
      <c r="N76" s="336"/>
      <c r="O76" s="155"/>
      <c r="P76" s="155"/>
      <c r="Q76" s="154"/>
      <c r="R76" s="155"/>
      <c r="S76" s="155"/>
    </row>
    <row r="77" spans="1:19" s="103" customFormat="1" ht="15" x14ac:dyDescent="0.25">
      <c r="A77" s="156"/>
      <c r="B77" s="155"/>
      <c r="C77" s="155"/>
      <c r="D77" s="155"/>
      <c r="E77" s="155"/>
      <c r="F77" s="155"/>
      <c r="G77" s="155"/>
      <c r="H77" s="155"/>
      <c r="I77" s="159"/>
      <c r="J77" s="336"/>
      <c r="K77" s="336"/>
      <c r="L77" s="336"/>
      <c r="M77" s="336"/>
      <c r="N77" s="336"/>
      <c r="O77" s="155"/>
      <c r="P77" s="155"/>
      <c r="Q77" s="154"/>
      <c r="R77" s="155"/>
      <c r="S77" s="155"/>
    </row>
    <row r="78" spans="1:19" s="103" customFormat="1" ht="15" x14ac:dyDescent="0.25">
      <c r="A78" s="156"/>
      <c r="B78" s="155"/>
      <c r="C78" s="155"/>
      <c r="D78" s="155"/>
      <c r="E78" s="155"/>
      <c r="F78" s="155"/>
      <c r="G78" s="155"/>
      <c r="H78" s="155"/>
      <c r="I78" s="159"/>
      <c r="J78" s="336"/>
      <c r="K78" s="336"/>
      <c r="L78" s="336"/>
      <c r="M78" s="336"/>
      <c r="N78" s="336"/>
      <c r="O78" s="155"/>
      <c r="P78" s="155"/>
      <c r="Q78" s="154"/>
      <c r="R78" s="155"/>
      <c r="S78" s="155"/>
    </row>
    <row r="79" spans="1:19" s="103" customFormat="1" ht="15" x14ac:dyDescent="0.25">
      <c r="A79" s="153"/>
      <c r="B79" s="155"/>
      <c r="C79" s="155"/>
      <c r="D79" s="155"/>
      <c r="E79" s="155"/>
      <c r="F79" s="155"/>
      <c r="G79" s="155"/>
      <c r="H79" s="155"/>
      <c r="I79" s="159"/>
      <c r="J79" s="336"/>
      <c r="K79" s="336"/>
      <c r="L79" s="336"/>
      <c r="M79" s="336"/>
      <c r="N79" s="336"/>
      <c r="O79" s="155"/>
      <c r="P79" s="155"/>
      <c r="Q79" s="154"/>
      <c r="R79" s="155"/>
      <c r="S79" s="155"/>
    </row>
    <row r="80" spans="1:19" s="103" customFormat="1" ht="15" x14ac:dyDescent="0.25">
      <c r="A80" s="156"/>
      <c r="B80" s="155"/>
      <c r="C80" s="155"/>
      <c r="D80" s="155"/>
      <c r="E80" s="155"/>
      <c r="F80" s="155"/>
      <c r="G80" s="155"/>
      <c r="H80" s="155"/>
      <c r="I80" s="159"/>
      <c r="J80" s="336"/>
      <c r="K80" s="336"/>
      <c r="L80" s="336"/>
      <c r="M80" s="336"/>
      <c r="N80" s="336"/>
      <c r="O80" s="155"/>
      <c r="P80" s="155"/>
      <c r="Q80" s="154"/>
      <c r="R80" s="155"/>
      <c r="S80" s="155"/>
    </row>
    <row r="81" spans="1:22" s="103" customFormat="1" ht="15" x14ac:dyDescent="0.25">
      <c r="A81" s="156"/>
      <c r="B81" s="155"/>
      <c r="C81" s="155"/>
      <c r="D81" s="155"/>
      <c r="E81" s="155"/>
      <c r="F81" s="155"/>
      <c r="G81" s="155"/>
      <c r="H81" s="155"/>
      <c r="I81" s="159"/>
      <c r="J81" s="336"/>
      <c r="K81" s="336"/>
      <c r="L81" s="336"/>
      <c r="M81" s="336"/>
      <c r="N81" s="336"/>
      <c r="O81" s="155"/>
      <c r="P81" s="155"/>
      <c r="Q81" s="154"/>
      <c r="R81" s="155"/>
      <c r="S81" s="155"/>
    </row>
    <row r="82" spans="1:22" s="103" customFormat="1" ht="15" x14ac:dyDescent="0.25">
      <c r="A82" s="156"/>
      <c r="B82" s="155"/>
      <c r="C82" s="155"/>
      <c r="D82" s="155"/>
      <c r="E82" s="155"/>
      <c r="F82" s="155"/>
      <c r="G82" s="155"/>
      <c r="H82" s="155"/>
      <c r="I82" s="159"/>
      <c r="J82" s="336"/>
      <c r="K82" s="336"/>
      <c r="L82" s="336"/>
      <c r="M82" s="336"/>
      <c r="N82" s="336"/>
      <c r="O82" s="155"/>
      <c r="P82" s="155"/>
      <c r="Q82" s="154"/>
      <c r="R82" s="155"/>
      <c r="S82" s="155"/>
    </row>
    <row r="83" spans="1:22" s="103" customFormat="1" ht="15" x14ac:dyDescent="0.25">
      <c r="A83" s="156"/>
      <c r="B83" s="155"/>
      <c r="C83" s="155"/>
      <c r="D83" s="155"/>
      <c r="E83" s="155"/>
      <c r="F83" s="155"/>
      <c r="G83" s="155"/>
      <c r="H83" s="155"/>
      <c r="I83" s="159"/>
      <c r="J83" s="336"/>
      <c r="K83" s="336"/>
      <c r="L83" s="336"/>
      <c r="M83" s="336"/>
      <c r="N83" s="336"/>
      <c r="O83" s="155"/>
      <c r="P83" s="155"/>
      <c r="Q83" s="154"/>
      <c r="R83" s="155"/>
      <c r="S83" s="155"/>
    </row>
    <row r="84" spans="1:22" s="103" customFormat="1" ht="15" x14ac:dyDescent="0.25">
      <c r="A84" s="153"/>
      <c r="B84" s="155"/>
      <c r="C84" s="155"/>
      <c r="D84" s="155"/>
      <c r="E84" s="155"/>
      <c r="F84" s="155"/>
      <c r="G84" s="155"/>
      <c r="H84" s="155"/>
      <c r="I84" s="159"/>
      <c r="J84" s="336"/>
      <c r="K84" s="336"/>
      <c r="L84" s="336"/>
      <c r="M84" s="336"/>
      <c r="N84" s="336"/>
      <c r="O84" s="155"/>
      <c r="P84" s="155"/>
      <c r="Q84" s="154"/>
      <c r="R84" s="155"/>
      <c r="S84" s="155"/>
    </row>
    <row r="85" spans="1:22" s="103" customFormat="1" ht="15" x14ac:dyDescent="0.25">
      <c r="A85" s="153"/>
      <c r="B85" s="155"/>
      <c r="C85" s="155"/>
      <c r="D85" s="155"/>
      <c r="E85" s="155"/>
      <c r="F85" s="155"/>
      <c r="G85" s="155"/>
      <c r="H85" s="155"/>
      <c r="I85" s="159"/>
      <c r="J85" s="336"/>
      <c r="K85" s="336"/>
      <c r="L85" s="336"/>
      <c r="M85" s="336"/>
      <c r="N85" s="336"/>
      <c r="O85" s="155"/>
      <c r="P85" s="155"/>
      <c r="Q85" s="154"/>
      <c r="R85" s="155"/>
      <c r="S85" s="155"/>
    </row>
    <row r="86" spans="1:22" s="103" customFormat="1" ht="15" x14ac:dyDescent="0.25">
      <c r="A86" s="156"/>
      <c r="B86" s="155"/>
      <c r="C86" s="155"/>
      <c r="D86" s="155"/>
      <c r="E86" s="155"/>
      <c r="F86" s="155"/>
      <c r="G86" s="155"/>
      <c r="H86" s="155"/>
      <c r="I86" s="336"/>
      <c r="J86" s="336"/>
      <c r="K86" s="336"/>
      <c r="L86" s="336"/>
      <c r="M86" s="336"/>
      <c r="N86" s="336"/>
      <c r="O86" s="155"/>
      <c r="P86" s="155"/>
      <c r="Q86" s="154"/>
      <c r="R86" s="155"/>
      <c r="S86" s="155"/>
    </row>
    <row r="87" spans="1:22" s="103" customFormat="1" ht="15" x14ac:dyDescent="0.25">
      <c r="A87" s="156"/>
      <c r="B87" s="155"/>
      <c r="C87" s="155"/>
      <c r="D87" s="155"/>
      <c r="E87" s="155"/>
      <c r="F87" s="155"/>
      <c r="G87" s="155"/>
      <c r="H87" s="155"/>
      <c r="I87" s="336"/>
      <c r="J87" s="336"/>
      <c r="K87" s="336"/>
      <c r="L87" s="336"/>
      <c r="M87" s="336"/>
      <c r="N87" s="336"/>
      <c r="O87" s="155"/>
      <c r="P87" s="155"/>
      <c r="Q87" s="154"/>
      <c r="R87" s="155"/>
      <c r="S87" s="155"/>
    </row>
    <row r="88" spans="1:22" s="103" customFormat="1" ht="15" x14ac:dyDescent="0.25">
      <c r="A88" s="156"/>
      <c r="B88" s="155"/>
      <c r="C88" s="155"/>
      <c r="D88" s="155"/>
      <c r="E88" s="155"/>
      <c r="F88" s="155"/>
      <c r="G88" s="155"/>
      <c r="H88" s="155"/>
      <c r="I88" s="336"/>
      <c r="J88" s="336"/>
      <c r="K88" s="336"/>
      <c r="L88" s="336"/>
      <c r="M88" s="336"/>
      <c r="N88" s="336"/>
      <c r="O88" s="155"/>
      <c r="P88" s="155"/>
      <c r="Q88" s="154"/>
      <c r="R88" s="155"/>
      <c r="S88" s="155"/>
    </row>
    <row r="89" spans="1:22" s="103" customFormat="1" ht="15" x14ac:dyDescent="0.25">
      <c r="A89" s="153"/>
      <c r="B89" s="155"/>
      <c r="C89" s="155"/>
      <c r="D89" s="155"/>
      <c r="E89" s="155"/>
      <c r="F89" s="155"/>
      <c r="G89" s="155"/>
      <c r="H89" s="155"/>
      <c r="I89" s="336"/>
      <c r="J89" s="336"/>
      <c r="K89" s="336"/>
      <c r="L89" s="336"/>
      <c r="M89" s="336"/>
      <c r="N89" s="336"/>
      <c r="O89" s="155"/>
      <c r="P89" s="155"/>
      <c r="Q89" s="154"/>
      <c r="R89" s="155"/>
      <c r="S89" s="155"/>
    </row>
    <row r="90" spans="1:22" s="103" customFormat="1" ht="15" x14ac:dyDescent="0.25">
      <c r="A90" s="156"/>
      <c r="B90" s="155"/>
      <c r="C90" s="155"/>
      <c r="D90" s="155"/>
      <c r="E90" s="155"/>
      <c r="F90" s="155"/>
      <c r="G90" s="155"/>
      <c r="H90" s="155"/>
      <c r="I90" s="336"/>
      <c r="J90" s="336"/>
      <c r="K90" s="336"/>
      <c r="L90" s="336"/>
      <c r="M90" s="336"/>
      <c r="N90" s="336"/>
      <c r="O90" s="155"/>
      <c r="P90" s="155"/>
      <c r="Q90" s="154"/>
      <c r="R90" s="155"/>
      <c r="S90" s="155"/>
    </row>
    <row r="91" spans="1:22" s="103" customFormat="1" ht="30.75" customHeight="1" x14ac:dyDescent="0.25">
      <c r="A91" s="156"/>
      <c r="B91" s="155"/>
      <c r="C91" s="155"/>
      <c r="D91" s="155"/>
      <c r="E91" s="155"/>
      <c r="F91" s="155"/>
      <c r="G91" s="155"/>
      <c r="H91" s="155"/>
      <c r="I91" s="336"/>
      <c r="J91" s="336"/>
      <c r="K91" s="336"/>
      <c r="L91" s="336"/>
      <c r="M91" s="336"/>
      <c r="N91" s="336"/>
      <c r="O91" s="155"/>
      <c r="P91" s="155"/>
      <c r="Q91" s="154"/>
      <c r="R91" s="155"/>
      <c r="S91" s="155"/>
    </row>
    <row r="92" spans="1:22" s="103" customFormat="1" ht="30.75" customHeight="1" x14ac:dyDescent="0.25">
      <c r="A92" s="153"/>
      <c r="B92" s="155"/>
      <c r="C92" s="155"/>
      <c r="D92" s="155"/>
      <c r="E92" s="155"/>
      <c r="F92" s="155"/>
      <c r="G92" s="155"/>
      <c r="H92" s="155"/>
      <c r="I92" s="336"/>
      <c r="J92" s="336"/>
      <c r="K92" s="336"/>
      <c r="L92" s="336"/>
      <c r="M92" s="336"/>
      <c r="N92" s="336"/>
      <c r="O92" s="155"/>
      <c r="P92" s="155"/>
      <c r="Q92" s="154"/>
      <c r="R92" s="155"/>
      <c r="S92" s="155"/>
    </row>
    <row r="93" spans="1:22" s="103" customFormat="1" ht="30.75" customHeight="1" x14ac:dyDescent="0.25">
      <c r="A93" s="153"/>
      <c r="B93" s="155"/>
      <c r="C93" s="155"/>
      <c r="D93" s="155"/>
      <c r="E93" s="155"/>
      <c r="F93" s="155"/>
      <c r="G93" s="155"/>
      <c r="H93" s="155"/>
      <c r="I93" s="336"/>
      <c r="J93" s="336"/>
      <c r="K93" s="336"/>
      <c r="L93" s="336"/>
      <c r="M93" s="336"/>
      <c r="N93" s="336"/>
      <c r="O93" s="155"/>
      <c r="P93" s="155"/>
      <c r="Q93" s="154"/>
      <c r="R93" s="155"/>
      <c r="S93" s="155"/>
    </row>
    <row r="94" spans="1:22" s="103" customFormat="1" ht="15" x14ac:dyDescent="0.25">
      <c r="A94" s="153"/>
      <c r="B94" s="155"/>
      <c r="C94" s="155"/>
      <c r="D94" s="155"/>
      <c r="E94" s="155"/>
      <c r="F94" s="155"/>
      <c r="G94" s="155"/>
      <c r="H94" s="155"/>
      <c r="I94" s="28"/>
      <c r="J94" s="28"/>
      <c r="K94" s="28"/>
      <c r="L94" s="28"/>
      <c r="M94" s="28"/>
      <c r="N94" s="28"/>
      <c r="O94" s="28"/>
      <c r="P94" s="28"/>
      <c r="Q94"/>
      <c r="R94"/>
      <c r="S94"/>
      <c r="T94"/>
      <c r="U94"/>
      <c r="V94"/>
    </row>
    <row r="95" spans="1:22" s="103" customFormat="1" ht="15" x14ac:dyDescent="0.25">
      <c r="A95" s="153"/>
      <c r="B95" s="155"/>
      <c r="C95" s="155"/>
      <c r="D95" s="155"/>
      <c r="E95" s="155"/>
      <c r="F95" s="155"/>
      <c r="G95" s="155"/>
      <c r="H95" s="155"/>
      <c r="I95" s="28"/>
      <c r="J95" s="28"/>
      <c r="K95" s="28"/>
      <c r="L95" s="28"/>
      <c r="M95" s="28"/>
      <c r="N95" s="28"/>
      <c r="O95" s="28"/>
      <c r="P95" s="28"/>
      <c r="Q95"/>
      <c r="R95"/>
      <c r="S95"/>
      <c r="T95"/>
      <c r="U95"/>
      <c r="V95"/>
    </row>
    <row r="96" spans="1:22" s="103" customFormat="1" ht="15" x14ac:dyDescent="0.25">
      <c r="A96" s="153"/>
      <c r="B96" s="155"/>
      <c r="C96" s="155"/>
      <c r="D96" s="155"/>
      <c r="E96" s="155"/>
      <c r="F96" s="155"/>
      <c r="G96" s="155"/>
      <c r="H96" s="155"/>
      <c r="I96" s="28"/>
      <c r="J96" s="28"/>
      <c r="K96" s="28"/>
      <c r="L96" s="28"/>
      <c r="M96" s="28"/>
      <c r="N96" s="28"/>
      <c r="O96" s="28"/>
      <c r="P96" s="28"/>
      <c r="Q96"/>
      <c r="R96"/>
      <c r="S96"/>
      <c r="T96"/>
      <c r="U96"/>
      <c r="V96"/>
    </row>
    <row r="97" spans="1:22" s="103" customFormat="1" ht="15" x14ac:dyDescent="0.25">
      <c r="A97" s="153"/>
      <c r="B97" s="155"/>
      <c r="C97" s="155"/>
      <c r="D97" s="155"/>
      <c r="E97" s="155"/>
      <c r="F97" s="155"/>
      <c r="G97" s="155"/>
      <c r="H97" s="155"/>
      <c r="I97" s="28"/>
      <c r="J97" s="28"/>
      <c r="K97" s="28"/>
      <c r="L97" s="28"/>
      <c r="M97" s="28"/>
      <c r="N97" s="28"/>
      <c r="O97" s="28"/>
      <c r="P97" s="28"/>
      <c r="Q97"/>
      <c r="R97"/>
      <c r="S97"/>
      <c r="T97"/>
      <c r="U97"/>
      <c r="V97"/>
    </row>
    <row r="98" spans="1:22" s="103" customFormat="1" ht="15" x14ac:dyDescent="0.25">
      <c r="A98" s="153"/>
      <c r="B98" s="155"/>
      <c r="C98" s="155"/>
      <c r="D98" s="155"/>
      <c r="E98" s="155"/>
      <c r="F98" s="155"/>
      <c r="G98" s="155"/>
      <c r="H98" s="155"/>
      <c r="I98" s="336"/>
      <c r="J98" s="336"/>
      <c r="K98" s="336"/>
      <c r="L98" s="336"/>
      <c r="M98" s="336"/>
      <c r="N98" s="336"/>
      <c r="O98" s="155"/>
      <c r="P98" s="155"/>
      <c r="Q98" s="154"/>
      <c r="R98" s="155"/>
      <c r="S98" s="155"/>
    </row>
    <row r="99" spans="1:22" s="103" customFormat="1" ht="15" x14ac:dyDescent="0.25">
      <c r="A99" s="314"/>
      <c r="B99" s="155"/>
      <c r="C99" s="155"/>
      <c r="D99" s="155"/>
      <c r="E99" s="155"/>
      <c r="F99" s="155"/>
      <c r="G99" s="155"/>
      <c r="H99" s="155"/>
      <c r="I99" s="336"/>
      <c r="J99" s="336"/>
      <c r="K99" s="336"/>
      <c r="L99" s="336"/>
      <c r="M99" s="336"/>
      <c r="N99" s="336"/>
      <c r="O99" s="155"/>
      <c r="P99" s="155"/>
      <c r="Q99" s="315"/>
      <c r="R99" s="316"/>
      <c r="S99" s="316"/>
    </row>
    <row r="100" spans="1:22" s="103" customFormat="1" ht="15" x14ac:dyDescent="0.25">
      <c r="A100" s="153"/>
      <c r="B100" s="155"/>
      <c r="C100" s="155"/>
      <c r="D100" s="155"/>
      <c r="E100" s="155"/>
      <c r="F100" s="155"/>
      <c r="G100" s="155"/>
      <c r="H100" s="155"/>
      <c r="I100" s="155"/>
      <c r="J100" s="155"/>
      <c r="K100" s="155"/>
      <c r="L100" s="155"/>
      <c r="M100" s="155"/>
      <c r="N100" s="155"/>
      <c r="O100" s="155"/>
      <c r="P100" s="155"/>
      <c r="Q100" s="154"/>
      <c r="R100" s="155"/>
      <c r="S100" s="155"/>
    </row>
    <row r="101" spans="1:22" s="103" customFormat="1" ht="15" x14ac:dyDescent="0.25">
      <c r="A101" s="153"/>
      <c r="B101" s="155"/>
      <c r="C101" s="155"/>
      <c r="D101" s="155"/>
      <c r="E101" s="155"/>
      <c r="F101" s="155"/>
      <c r="G101" s="155"/>
      <c r="H101" s="155"/>
      <c r="I101" s="155"/>
      <c r="J101" s="155"/>
      <c r="K101" s="155"/>
      <c r="L101" s="155"/>
      <c r="M101" s="155"/>
      <c r="N101" s="155"/>
      <c r="O101" s="155"/>
      <c r="P101" s="155"/>
      <c r="Q101" s="154"/>
      <c r="R101" s="155"/>
      <c r="S101" s="155"/>
    </row>
    <row r="102" spans="1:22" s="103" customFormat="1" ht="15" x14ac:dyDescent="0.25">
      <c r="A102" s="153"/>
      <c r="B102" s="155"/>
      <c r="C102" s="155"/>
      <c r="D102" s="155"/>
      <c r="E102" s="155"/>
      <c r="F102" s="155"/>
      <c r="G102" s="155"/>
      <c r="H102" s="155"/>
      <c r="I102" s="155"/>
      <c r="J102" s="155"/>
      <c r="K102" s="155"/>
      <c r="L102" s="155"/>
      <c r="M102" s="155"/>
      <c r="N102" s="155"/>
      <c r="O102" s="155"/>
      <c r="P102" s="155"/>
      <c r="Q102" s="154"/>
      <c r="R102" s="155"/>
      <c r="S102" s="155"/>
    </row>
    <row r="103" spans="1:22" s="103" customFormat="1" ht="15" x14ac:dyDescent="0.25">
      <c r="A103" s="153"/>
      <c r="B103" s="155"/>
      <c r="C103" s="155"/>
      <c r="D103" s="155"/>
      <c r="E103" s="155"/>
      <c r="F103" s="155"/>
      <c r="G103" s="155"/>
      <c r="H103" s="155"/>
      <c r="I103" s="155"/>
      <c r="J103" s="155"/>
      <c r="K103" s="155"/>
      <c r="L103" s="155"/>
      <c r="M103" s="155"/>
      <c r="N103" s="155"/>
      <c r="O103" s="155"/>
      <c r="P103" s="155"/>
      <c r="Q103" s="154"/>
      <c r="R103" s="155"/>
      <c r="S103" s="155"/>
    </row>
    <row r="104" spans="1:22" s="103" customFormat="1" ht="15" x14ac:dyDescent="0.25">
      <c r="A104" s="153"/>
      <c r="B104" s="155"/>
      <c r="C104" s="155"/>
      <c r="D104" s="155"/>
      <c r="E104" s="155"/>
      <c r="F104" s="155"/>
      <c r="G104" s="155"/>
      <c r="H104" s="155"/>
      <c r="I104" s="155"/>
      <c r="J104" s="155"/>
      <c r="K104" s="155"/>
      <c r="L104" s="155"/>
      <c r="M104" s="155"/>
      <c r="N104" s="155"/>
      <c r="O104" s="155"/>
      <c r="P104" s="155"/>
      <c r="Q104" s="154"/>
      <c r="R104" s="155"/>
      <c r="S104" s="155"/>
    </row>
    <row r="105" spans="1:22" s="103" customFormat="1" ht="15" x14ac:dyDescent="0.25">
      <c r="A105" s="153"/>
      <c r="B105" s="155"/>
      <c r="C105" s="155"/>
      <c r="D105" s="155"/>
      <c r="E105" s="155"/>
      <c r="F105" s="155"/>
      <c r="G105" s="155"/>
      <c r="H105" s="155"/>
      <c r="I105" s="155"/>
      <c r="J105" s="155"/>
      <c r="K105" s="155"/>
      <c r="L105" s="155"/>
      <c r="M105" s="155"/>
      <c r="N105" s="155"/>
      <c r="O105" s="155"/>
      <c r="P105" s="155"/>
      <c r="Q105" s="154"/>
      <c r="R105" s="155"/>
      <c r="S105" s="155"/>
    </row>
    <row r="106" spans="1:22" s="103" customFormat="1" ht="15" x14ac:dyDescent="0.25">
      <c r="A106" s="153"/>
      <c r="B106" s="155"/>
      <c r="C106" s="155"/>
      <c r="D106" s="155"/>
      <c r="E106" s="155"/>
      <c r="F106" s="155"/>
      <c r="G106" s="155"/>
      <c r="H106" s="155"/>
      <c r="I106" s="155"/>
      <c r="J106" s="155"/>
      <c r="K106" s="155"/>
      <c r="L106" s="155"/>
      <c r="M106" s="155"/>
      <c r="N106" s="155"/>
      <c r="O106" s="155"/>
      <c r="P106" s="155"/>
      <c r="Q106" s="154"/>
      <c r="R106" s="155"/>
      <c r="S106" s="155"/>
    </row>
    <row r="107" spans="1:22" s="103" customFormat="1" ht="15" x14ac:dyDescent="0.25">
      <c r="A107" s="153"/>
      <c r="B107" s="155"/>
      <c r="C107" s="155"/>
      <c r="D107" s="155"/>
      <c r="E107" s="155"/>
      <c r="F107" s="155"/>
      <c r="G107" s="155"/>
      <c r="H107" s="155"/>
      <c r="I107" s="155"/>
      <c r="J107" s="155"/>
      <c r="K107" s="155"/>
      <c r="L107" s="155"/>
      <c r="M107" s="155"/>
      <c r="N107" s="155"/>
      <c r="O107" s="155"/>
      <c r="P107" s="155"/>
      <c r="Q107" s="154"/>
      <c r="R107" s="155"/>
      <c r="S107" s="155"/>
    </row>
    <row r="108" spans="1:22" s="103" customFormat="1" ht="15" x14ac:dyDescent="0.25">
      <c r="A108" s="153"/>
      <c r="B108" s="155"/>
      <c r="C108" s="155"/>
      <c r="D108" s="155"/>
      <c r="E108" s="155"/>
      <c r="F108" s="155"/>
      <c r="G108" s="155"/>
      <c r="H108" s="155"/>
      <c r="I108" s="155"/>
      <c r="J108" s="155"/>
      <c r="K108" s="155"/>
      <c r="L108" s="155"/>
      <c r="M108" s="155"/>
      <c r="N108" s="155"/>
      <c r="O108" s="155"/>
      <c r="P108" s="155"/>
      <c r="Q108" s="154"/>
      <c r="R108" s="155"/>
      <c r="S108" s="155"/>
    </row>
    <row r="109" spans="1:22" s="103" customFormat="1" ht="15" x14ac:dyDescent="0.25">
      <c r="A109" s="153"/>
      <c r="B109" s="155"/>
      <c r="C109" s="155"/>
      <c r="D109" s="155"/>
      <c r="E109" s="155"/>
      <c r="F109" s="155"/>
      <c r="G109" s="155"/>
      <c r="H109" s="155"/>
      <c r="I109" s="155"/>
      <c r="J109" s="155"/>
      <c r="K109" s="155"/>
      <c r="L109" s="155"/>
      <c r="M109" s="155"/>
      <c r="N109" s="155"/>
      <c r="O109" s="155"/>
      <c r="P109" s="155"/>
      <c r="Q109" s="154"/>
      <c r="R109" s="155"/>
      <c r="S109" s="155"/>
    </row>
    <row r="110" spans="1:22" s="103" customFormat="1" ht="15" x14ac:dyDescent="0.25">
      <c r="A110" s="153"/>
      <c r="B110" s="155"/>
      <c r="C110" s="155"/>
      <c r="D110" s="155"/>
      <c r="E110" s="155"/>
      <c r="F110" s="155"/>
      <c r="G110" s="155"/>
      <c r="H110" s="155"/>
      <c r="I110" s="155"/>
      <c r="J110" s="155"/>
      <c r="K110" s="155"/>
      <c r="L110" s="155"/>
      <c r="M110" s="155"/>
      <c r="N110" s="155"/>
      <c r="O110" s="155"/>
      <c r="P110" s="155"/>
      <c r="Q110" s="154"/>
      <c r="R110" s="155"/>
      <c r="S110" s="155"/>
    </row>
    <row r="111" spans="1:22" s="103" customFormat="1" ht="15" x14ac:dyDescent="0.25">
      <c r="A111" s="153"/>
      <c r="B111" s="155"/>
      <c r="C111" s="155"/>
      <c r="D111" s="155"/>
      <c r="E111" s="155"/>
      <c r="F111" s="155"/>
      <c r="G111" s="155"/>
      <c r="H111" s="155"/>
      <c r="I111" s="155"/>
      <c r="J111" s="155"/>
      <c r="K111" s="155"/>
      <c r="L111" s="155"/>
      <c r="M111" s="155"/>
      <c r="N111" s="155"/>
      <c r="O111" s="155"/>
      <c r="P111" s="155"/>
      <c r="Q111" s="154"/>
      <c r="R111" s="155"/>
      <c r="S111" s="155"/>
    </row>
    <row r="112" spans="1:22" s="103" customFormat="1" ht="15" x14ac:dyDescent="0.25">
      <c r="A112" s="153"/>
      <c r="B112" s="155"/>
      <c r="C112" s="155"/>
      <c r="D112" s="155"/>
      <c r="E112" s="155"/>
      <c r="F112" s="155"/>
      <c r="G112" s="155"/>
      <c r="H112" s="155"/>
      <c r="I112" s="155"/>
      <c r="J112" s="155"/>
      <c r="K112" s="155"/>
      <c r="L112" s="155"/>
      <c r="M112" s="155"/>
      <c r="N112" s="155"/>
      <c r="O112" s="155"/>
      <c r="P112" s="155"/>
      <c r="Q112" s="154"/>
      <c r="R112" s="155"/>
      <c r="S112" s="155"/>
    </row>
    <row r="113" spans="1:19" s="103" customFormat="1" ht="15" x14ac:dyDescent="0.25">
      <c r="A113" s="153"/>
      <c r="B113" s="155"/>
      <c r="C113" s="155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4"/>
      <c r="R113" s="155"/>
      <c r="S113" s="155"/>
    </row>
    <row r="114" spans="1:19" s="103" customFormat="1" ht="15" x14ac:dyDescent="0.25">
      <c r="A114" s="153"/>
      <c r="B114" s="155"/>
      <c r="C114" s="155"/>
      <c r="D114" s="155"/>
      <c r="E114" s="155"/>
      <c r="F114" s="155"/>
      <c r="G114" s="155"/>
      <c r="H114" s="155"/>
      <c r="I114" s="155"/>
      <c r="J114" s="155"/>
      <c r="K114" s="155"/>
      <c r="L114" s="155"/>
      <c r="M114" s="155"/>
      <c r="N114" s="155"/>
      <c r="O114" s="155"/>
      <c r="P114" s="155"/>
      <c r="Q114" s="154"/>
      <c r="R114" s="155"/>
      <c r="S114" s="155"/>
    </row>
    <row r="115" spans="1:19" s="103" customFormat="1" ht="15" x14ac:dyDescent="0.25">
      <c r="A115" s="153"/>
      <c r="B115" s="155"/>
      <c r="C115" s="155"/>
      <c r="D115" s="155"/>
      <c r="E115" s="155"/>
      <c r="F115" s="155"/>
      <c r="G115" s="155"/>
      <c r="H115" s="155"/>
      <c r="I115" s="155"/>
      <c r="J115" s="155"/>
      <c r="K115" s="155"/>
      <c r="L115" s="155"/>
      <c r="M115" s="155"/>
      <c r="N115" s="155"/>
      <c r="O115" s="155"/>
      <c r="P115" s="155"/>
      <c r="Q115" s="154"/>
      <c r="R115" s="155"/>
      <c r="S115" s="155"/>
    </row>
    <row r="116" spans="1:19" s="103" customFormat="1" ht="30.75" customHeight="1" x14ac:dyDescent="0.25">
      <c r="A116" s="153"/>
      <c r="B116" s="155"/>
      <c r="C116" s="155"/>
      <c r="D116" s="155"/>
      <c r="E116" s="155"/>
      <c r="F116" s="155"/>
      <c r="G116" s="155"/>
      <c r="H116" s="155"/>
      <c r="I116" s="155"/>
      <c r="J116" s="155"/>
      <c r="K116" s="155"/>
      <c r="L116" s="155"/>
      <c r="M116" s="155"/>
      <c r="N116" s="155"/>
      <c r="O116" s="155"/>
      <c r="P116" s="155"/>
      <c r="Q116" s="154"/>
      <c r="R116" s="155"/>
      <c r="S116" s="155"/>
    </row>
    <row r="117" spans="1:19" s="103" customFormat="1" ht="30.75" customHeight="1" x14ac:dyDescent="0.25">
      <c r="A117" s="153"/>
      <c r="B117" s="155"/>
      <c r="C117" s="155"/>
      <c r="D117" s="155"/>
      <c r="E117" s="155"/>
      <c r="F117" s="155"/>
      <c r="G117" s="155"/>
      <c r="H117" s="155"/>
      <c r="I117" s="155"/>
      <c r="J117" s="155"/>
      <c r="K117" s="155"/>
      <c r="L117" s="155"/>
      <c r="M117" s="155"/>
      <c r="N117" s="155"/>
      <c r="O117" s="155"/>
      <c r="P117" s="155"/>
      <c r="Q117" s="154"/>
      <c r="R117" s="155"/>
      <c r="S117" s="155"/>
    </row>
    <row r="118" spans="1:19" s="103" customFormat="1" ht="30.75" customHeight="1" x14ac:dyDescent="0.25">
      <c r="A118" s="153"/>
      <c r="B118" s="155"/>
      <c r="C118" s="155"/>
      <c r="D118" s="155"/>
      <c r="E118" s="155"/>
      <c r="F118" s="155"/>
      <c r="G118" s="155"/>
      <c r="H118" s="155"/>
      <c r="I118" s="155"/>
      <c r="J118" s="155"/>
      <c r="K118" s="155"/>
      <c r="L118" s="155"/>
      <c r="M118" s="155"/>
      <c r="N118" s="155"/>
      <c r="O118" s="155"/>
      <c r="P118" s="155"/>
      <c r="Q118" s="154"/>
      <c r="R118" s="155"/>
      <c r="S118" s="155"/>
    </row>
    <row r="119" spans="1:19" s="103" customFormat="1" ht="30.75" customHeight="1" x14ac:dyDescent="0.25">
      <c r="A119" s="153"/>
      <c r="B119" s="155"/>
      <c r="C119" s="155"/>
      <c r="D119" s="155"/>
      <c r="E119" s="155"/>
      <c r="F119" s="155"/>
      <c r="G119" s="155"/>
      <c r="H119" s="155"/>
      <c r="I119" s="155"/>
      <c r="J119" s="155"/>
      <c r="K119" s="155"/>
      <c r="L119" s="155"/>
      <c r="M119" s="155"/>
      <c r="N119" s="155"/>
      <c r="O119" s="155"/>
      <c r="P119" s="155"/>
      <c r="Q119" s="154"/>
      <c r="R119" s="155"/>
      <c r="S119" s="155"/>
    </row>
    <row r="120" spans="1:19" s="103" customFormat="1" ht="30.75" customHeight="1" x14ac:dyDescent="0.25">
      <c r="A120" s="153"/>
      <c r="B120" s="155"/>
      <c r="C120" s="155"/>
      <c r="D120" s="155"/>
      <c r="E120" s="155"/>
      <c r="F120" s="155"/>
      <c r="G120" s="155"/>
      <c r="H120" s="155"/>
      <c r="I120" s="155"/>
      <c r="J120" s="155"/>
      <c r="K120" s="155"/>
      <c r="L120" s="155"/>
      <c r="M120" s="155"/>
      <c r="N120" s="155"/>
      <c r="O120" s="155"/>
      <c r="P120" s="155"/>
      <c r="Q120" s="154"/>
      <c r="R120" s="155"/>
      <c r="S120" s="155"/>
    </row>
    <row r="121" spans="1:19" s="103" customFormat="1" ht="30.75" customHeight="1" x14ac:dyDescent="0.25">
      <c r="A121" s="153"/>
      <c r="B121" s="155"/>
      <c r="C121" s="155"/>
      <c r="D121" s="155"/>
      <c r="E121" s="155"/>
      <c r="F121" s="155"/>
      <c r="G121" s="155"/>
      <c r="H121" s="155"/>
      <c r="I121" s="155"/>
      <c r="J121" s="155"/>
      <c r="K121" s="155"/>
      <c r="L121" s="155"/>
      <c r="M121" s="155"/>
      <c r="N121" s="155"/>
      <c r="O121" s="155"/>
      <c r="P121" s="155"/>
      <c r="Q121" s="154"/>
      <c r="R121" s="155"/>
      <c r="S121" s="155"/>
    </row>
    <row r="122" spans="1:19" s="103" customFormat="1" ht="30.75" customHeight="1" x14ac:dyDescent="0.25">
      <c r="A122" s="153"/>
      <c r="B122" s="155"/>
      <c r="C122" s="155"/>
      <c r="D122" s="155"/>
      <c r="E122" s="155"/>
      <c r="F122" s="155"/>
      <c r="G122" s="155"/>
      <c r="H122" s="155"/>
      <c r="I122" s="155"/>
      <c r="J122" s="155"/>
      <c r="K122" s="155"/>
      <c r="L122" s="155"/>
      <c r="M122" s="155"/>
      <c r="N122" s="155"/>
      <c r="O122" s="155"/>
      <c r="P122" s="155"/>
      <c r="Q122" s="154"/>
      <c r="R122" s="155"/>
      <c r="S122" s="155"/>
    </row>
    <row r="123" spans="1:19" s="103" customFormat="1" ht="30.75" customHeight="1" x14ac:dyDescent="0.25">
      <c r="A123" s="153"/>
      <c r="B123" s="155"/>
      <c r="C123" s="155"/>
      <c r="D123" s="155"/>
      <c r="E123" s="155"/>
      <c r="F123" s="155"/>
      <c r="G123" s="155"/>
      <c r="H123" s="155"/>
      <c r="I123" s="155"/>
      <c r="J123" s="155"/>
      <c r="K123" s="155"/>
      <c r="L123" s="155"/>
      <c r="M123" s="155"/>
      <c r="N123" s="155"/>
      <c r="O123" s="155"/>
      <c r="P123" s="155"/>
      <c r="Q123" s="154"/>
      <c r="R123" s="155"/>
      <c r="S123" s="155"/>
    </row>
    <row r="124" spans="1:19" s="103" customFormat="1" ht="30.75" customHeight="1" x14ac:dyDescent="0.25">
      <c r="A124" s="153"/>
      <c r="B124" s="155"/>
      <c r="C124" s="155"/>
      <c r="D124" s="155"/>
      <c r="E124" s="155"/>
      <c r="F124" s="155"/>
      <c r="G124" s="155"/>
      <c r="H124" s="155"/>
      <c r="I124" s="155"/>
      <c r="J124" s="155"/>
      <c r="K124" s="155"/>
      <c r="L124" s="155"/>
      <c r="M124" s="155"/>
      <c r="N124" s="155"/>
      <c r="O124" s="155"/>
      <c r="P124" s="155"/>
      <c r="Q124" s="154"/>
      <c r="R124" s="155"/>
      <c r="S124" s="155"/>
    </row>
    <row r="125" spans="1:19" s="103" customFormat="1" ht="30.75" customHeight="1" x14ac:dyDescent="0.25">
      <c r="A125" s="153"/>
      <c r="B125" s="155"/>
      <c r="C125" s="155"/>
      <c r="D125" s="155"/>
      <c r="E125" s="155"/>
      <c r="F125" s="155"/>
      <c r="G125" s="155"/>
      <c r="H125" s="155"/>
      <c r="I125" s="155"/>
      <c r="J125" s="155"/>
      <c r="K125" s="155"/>
      <c r="L125" s="155"/>
      <c r="M125" s="155"/>
      <c r="N125" s="155"/>
      <c r="O125" s="155"/>
      <c r="P125" s="155"/>
      <c r="Q125" s="154"/>
      <c r="R125" s="155"/>
      <c r="S125" s="155"/>
    </row>
    <row r="126" spans="1:19" s="103" customFormat="1" ht="30.75" customHeight="1" x14ac:dyDescent="0.25">
      <c r="A126" s="317"/>
      <c r="B126" s="155"/>
      <c r="C126" s="155"/>
      <c r="D126" s="155"/>
      <c r="E126" s="155"/>
      <c r="F126" s="155"/>
      <c r="G126" s="155"/>
      <c r="H126" s="155"/>
      <c r="I126" s="155"/>
      <c r="J126" s="155"/>
      <c r="K126" s="155"/>
      <c r="L126" s="155"/>
      <c r="M126" s="155"/>
      <c r="N126" s="155"/>
      <c r="O126" s="155"/>
      <c r="P126" s="155"/>
      <c r="Q126" s="334"/>
      <c r="R126" s="158"/>
      <c r="S126" s="158"/>
    </row>
    <row r="127" spans="1:19" s="103" customFormat="1" ht="30.75" customHeight="1" x14ac:dyDescent="0.25">
      <c r="A127" s="156"/>
      <c r="B127" s="155"/>
      <c r="C127" s="155"/>
      <c r="D127" s="155"/>
      <c r="E127" s="155"/>
      <c r="F127" s="155"/>
      <c r="G127" s="155"/>
      <c r="H127" s="155"/>
      <c r="I127" s="155"/>
      <c r="J127" s="155"/>
      <c r="K127" s="155"/>
      <c r="L127" s="155"/>
      <c r="M127" s="155"/>
      <c r="N127" s="155"/>
      <c r="O127" s="155"/>
      <c r="P127" s="155"/>
      <c r="Q127" s="154"/>
      <c r="R127" s="155"/>
      <c r="S127" s="155"/>
    </row>
    <row r="128" spans="1:19" s="103" customFormat="1" ht="30.75" customHeight="1" x14ac:dyDescent="0.25">
      <c r="A128" s="153"/>
      <c r="B128" s="155"/>
      <c r="C128" s="155"/>
      <c r="D128" s="155"/>
      <c r="E128" s="155"/>
      <c r="F128" s="155"/>
      <c r="G128" s="155"/>
      <c r="H128" s="155"/>
      <c r="I128" s="155"/>
      <c r="J128" s="155"/>
      <c r="K128" s="155"/>
      <c r="L128" s="155"/>
      <c r="M128" s="155"/>
      <c r="N128" s="155"/>
      <c r="O128" s="155"/>
      <c r="P128" s="155"/>
      <c r="Q128" s="154"/>
      <c r="R128" s="155"/>
      <c r="S128" s="155"/>
    </row>
    <row r="129" spans="1:19" s="103" customFormat="1" ht="30.75" customHeight="1" x14ac:dyDescent="0.25">
      <c r="A129" s="153"/>
      <c r="B129" s="155"/>
      <c r="C129" s="155"/>
      <c r="D129" s="155"/>
      <c r="E129" s="155"/>
      <c r="F129" s="155"/>
      <c r="G129" s="155"/>
      <c r="H129" s="155"/>
      <c r="I129" s="155"/>
      <c r="J129" s="155"/>
      <c r="K129" s="155"/>
      <c r="L129" s="155"/>
      <c r="M129" s="155"/>
      <c r="N129" s="155"/>
      <c r="O129" s="155"/>
      <c r="P129" s="155"/>
      <c r="Q129" s="154"/>
      <c r="R129" s="155"/>
      <c r="S129" s="155"/>
    </row>
    <row r="130" spans="1:19" s="103" customFormat="1" ht="30.75" customHeight="1" x14ac:dyDescent="0.25">
      <c r="A130" s="156"/>
      <c r="B130" s="155"/>
      <c r="C130" s="155"/>
      <c r="D130" s="155"/>
      <c r="E130" s="155"/>
      <c r="F130" s="155"/>
      <c r="G130" s="155"/>
      <c r="H130" s="155"/>
      <c r="I130" s="155"/>
      <c r="J130" s="155"/>
      <c r="K130" s="155"/>
      <c r="L130" s="155"/>
      <c r="M130" s="155"/>
      <c r="N130" s="155"/>
      <c r="O130" s="155"/>
      <c r="P130" s="155"/>
      <c r="Q130" s="154"/>
      <c r="R130" s="155"/>
      <c r="S130" s="155"/>
    </row>
    <row r="131" spans="1:19" s="103" customFormat="1" ht="30.75" customHeight="1" x14ac:dyDescent="0.25">
      <c r="A131" s="156"/>
      <c r="B131" s="155"/>
      <c r="C131" s="155"/>
      <c r="D131" s="155"/>
      <c r="E131" s="155"/>
      <c r="F131" s="155"/>
      <c r="G131" s="155"/>
      <c r="H131" s="155"/>
      <c r="I131" s="155"/>
      <c r="J131" s="155"/>
      <c r="K131" s="155"/>
      <c r="L131" s="155"/>
      <c r="M131" s="155"/>
      <c r="N131" s="155"/>
      <c r="O131" s="155"/>
      <c r="P131" s="155"/>
      <c r="Q131" s="154"/>
      <c r="R131" s="155"/>
      <c r="S131" s="155"/>
    </row>
    <row r="132" spans="1:19" s="103" customFormat="1" ht="30.75" customHeight="1" x14ac:dyDescent="0.25">
      <c r="A132" s="153"/>
      <c r="B132" s="155"/>
      <c r="C132" s="155"/>
      <c r="D132" s="155"/>
      <c r="E132" s="155"/>
      <c r="F132" s="155"/>
      <c r="G132" s="155"/>
      <c r="H132" s="155"/>
      <c r="I132" s="155"/>
      <c r="J132" s="155"/>
      <c r="K132" s="155"/>
      <c r="L132" s="155"/>
      <c r="M132" s="155"/>
      <c r="N132" s="155"/>
      <c r="O132" s="155"/>
      <c r="P132" s="155"/>
      <c r="Q132" s="154"/>
      <c r="R132" s="155"/>
      <c r="S132" s="155"/>
    </row>
    <row r="133" spans="1:19" s="103" customFormat="1" ht="30.75" customHeight="1" x14ac:dyDescent="0.25">
      <c r="A133" s="156"/>
      <c r="B133" s="155"/>
      <c r="C133" s="155"/>
      <c r="D133" s="155"/>
      <c r="E133" s="155"/>
      <c r="F133" s="155"/>
      <c r="G133" s="155"/>
      <c r="H133" s="155"/>
      <c r="I133" s="155"/>
      <c r="J133" s="155"/>
      <c r="K133" s="155"/>
      <c r="L133" s="155"/>
      <c r="M133" s="155"/>
      <c r="N133" s="155"/>
      <c r="O133" s="155"/>
      <c r="P133" s="155"/>
      <c r="Q133" s="154"/>
      <c r="R133" s="155"/>
      <c r="S133" s="155"/>
    </row>
    <row r="134" spans="1:19" s="103" customFormat="1" ht="30.75" customHeight="1" x14ac:dyDescent="0.25">
      <c r="A134" s="156"/>
      <c r="B134" s="155"/>
      <c r="C134" s="155"/>
      <c r="D134" s="155"/>
      <c r="E134" s="155"/>
      <c r="F134" s="155"/>
      <c r="G134" s="155"/>
      <c r="H134" s="155"/>
      <c r="I134" s="155"/>
      <c r="J134" s="155"/>
      <c r="K134" s="155"/>
      <c r="L134" s="155"/>
      <c r="M134" s="155"/>
      <c r="N134" s="155"/>
      <c r="O134" s="155"/>
      <c r="P134" s="155"/>
      <c r="Q134" s="154"/>
      <c r="R134" s="155"/>
      <c r="S134" s="155"/>
    </row>
    <row r="135" spans="1:19" s="103" customFormat="1" ht="30.75" customHeight="1" x14ac:dyDescent="0.25">
      <c r="A135" s="156"/>
      <c r="B135" s="155"/>
      <c r="C135" s="155"/>
      <c r="D135" s="155"/>
      <c r="E135" s="155"/>
      <c r="F135" s="155"/>
      <c r="G135" s="155"/>
      <c r="H135" s="155"/>
      <c r="I135" s="155"/>
      <c r="J135" s="155"/>
      <c r="K135" s="155"/>
      <c r="L135" s="155"/>
      <c r="M135" s="155"/>
      <c r="N135" s="155"/>
      <c r="O135" s="155"/>
      <c r="P135" s="155"/>
      <c r="Q135" s="154"/>
      <c r="R135" s="155"/>
      <c r="S135" s="155"/>
    </row>
    <row r="136" spans="1:19" s="103" customFormat="1" ht="30.75" customHeight="1" x14ac:dyDescent="0.25">
      <c r="A136" s="153"/>
      <c r="B136" s="155"/>
      <c r="C136" s="155"/>
      <c r="D136" s="155"/>
      <c r="E136" s="155"/>
      <c r="F136" s="155"/>
      <c r="G136" s="155"/>
      <c r="H136" s="155"/>
      <c r="I136" s="155"/>
      <c r="J136" s="155"/>
      <c r="K136" s="155"/>
      <c r="L136" s="155"/>
      <c r="M136" s="155"/>
      <c r="N136" s="155"/>
      <c r="O136" s="155"/>
      <c r="P136" s="155"/>
      <c r="Q136" s="154"/>
      <c r="R136" s="155"/>
      <c r="S136" s="155"/>
    </row>
    <row r="137" spans="1:19" s="103" customFormat="1" ht="30.75" customHeight="1" x14ac:dyDescent="0.25">
      <c r="A137" s="156"/>
      <c r="B137" s="155"/>
      <c r="C137" s="155"/>
      <c r="D137" s="155"/>
      <c r="E137" s="155"/>
      <c r="F137" s="155"/>
      <c r="G137" s="155"/>
      <c r="H137" s="155"/>
      <c r="I137" s="155"/>
      <c r="J137" s="155"/>
      <c r="K137" s="155"/>
      <c r="L137" s="155"/>
      <c r="M137" s="155"/>
      <c r="N137" s="155"/>
      <c r="O137" s="155"/>
      <c r="P137" s="155"/>
      <c r="Q137" s="154"/>
      <c r="R137" s="155"/>
      <c r="S137" s="155"/>
    </row>
    <row r="138" spans="1:19" s="103" customFormat="1" ht="30.75" customHeight="1" x14ac:dyDescent="0.25">
      <c r="A138" s="156"/>
      <c r="B138" s="155"/>
      <c r="C138" s="155"/>
      <c r="D138" s="155"/>
      <c r="E138" s="155"/>
      <c r="F138" s="155"/>
      <c r="G138" s="155"/>
      <c r="H138" s="155"/>
      <c r="I138" s="155"/>
      <c r="J138" s="155"/>
      <c r="K138" s="155"/>
      <c r="L138" s="155"/>
      <c r="M138" s="155"/>
      <c r="N138" s="155"/>
      <c r="O138" s="155"/>
      <c r="P138" s="155"/>
      <c r="Q138" s="154"/>
      <c r="R138" s="155"/>
      <c r="S138" s="155"/>
    </row>
    <row r="139" spans="1:19" s="103" customFormat="1" ht="30.75" customHeight="1" x14ac:dyDescent="0.25">
      <c r="A139" s="156"/>
      <c r="B139" s="155"/>
      <c r="C139" s="155"/>
      <c r="D139" s="155"/>
      <c r="E139" s="155"/>
      <c r="F139" s="155"/>
      <c r="G139" s="155"/>
      <c r="H139" s="155"/>
      <c r="I139" s="155"/>
      <c r="J139" s="155"/>
      <c r="K139" s="155"/>
      <c r="L139" s="155"/>
      <c r="M139" s="155"/>
      <c r="N139" s="155"/>
      <c r="O139" s="155"/>
      <c r="P139" s="155"/>
      <c r="Q139" s="154"/>
      <c r="R139" s="155"/>
      <c r="S139" s="155"/>
    </row>
    <row r="140" spans="1:19" s="103" customFormat="1" ht="30.75" customHeight="1" x14ac:dyDescent="0.25">
      <c r="A140" s="156"/>
      <c r="B140" s="155"/>
      <c r="C140" s="155"/>
      <c r="D140" s="155"/>
      <c r="E140" s="155"/>
      <c r="F140" s="155"/>
      <c r="G140" s="155"/>
      <c r="H140" s="155"/>
      <c r="I140" s="155"/>
      <c r="J140" s="155"/>
      <c r="K140" s="155"/>
      <c r="L140" s="155"/>
      <c r="M140" s="155"/>
      <c r="N140" s="155"/>
      <c r="O140" s="155"/>
      <c r="P140" s="155"/>
      <c r="Q140" s="154"/>
      <c r="R140" s="155"/>
      <c r="S140" s="155"/>
    </row>
    <row r="141" spans="1:19" s="103" customFormat="1" ht="30.75" customHeight="1" x14ac:dyDescent="0.25">
      <c r="A141" s="156"/>
      <c r="B141" s="28"/>
      <c r="C141" s="159"/>
      <c r="D141" s="159"/>
      <c r="E141" s="159"/>
      <c r="F141" s="159"/>
      <c r="G141" s="159"/>
      <c r="H141" s="155"/>
      <c r="I141" s="155"/>
      <c r="J141" s="155"/>
      <c r="K141" s="155"/>
      <c r="L141" s="155"/>
      <c r="M141" s="155"/>
      <c r="N141" s="155"/>
      <c r="O141" s="155"/>
      <c r="P141" s="155"/>
      <c r="Q141" s="154"/>
      <c r="R141" s="155"/>
      <c r="S141" s="155"/>
    </row>
    <row r="142" spans="1:19" s="103" customFormat="1" ht="30.75" customHeight="1" x14ac:dyDescent="0.25">
      <c r="A142" s="156"/>
      <c r="B142" s="28"/>
      <c r="C142" s="159"/>
      <c r="D142" s="159"/>
      <c r="E142" s="159"/>
      <c r="F142" s="159"/>
      <c r="G142" s="159"/>
      <c r="H142" s="155"/>
      <c r="I142" s="155"/>
      <c r="J142" s="155"/>
      <c r="K142" s="155"/>
      <c r="L142" s="155"/>
      <c r="M142" s="155"/>
      <c r="N142" s="155"/>
      <c r="O142" s="155"/>
      <c r="P142" s="155"/>
      <c r="Q142" s="154"/>
      <c r="R142" s="155"/>
      <c r="S142" s="155"/>
    </row>
    <row r="143" spans="1:19" ht="30.75" customHeight="1" x14ac:dyDescent="0.25">
      <c r="A143" s="99"/>
      <c r="B143" s="28"/>
      <c r="C143" s="28"/>
      <c r="D143" s="28"/>
      <c r="E143" s="28"/>
      <c r="F143" s="28"/>
      <c r="G143" s="28"/>
      <c r="H143" s="6"/>
      <c r="I143" s="6"/>
      <c r="J143" s="6"/>
      <c r="K143" s="6"/>
      <c r="L143" s="6"/>
      <c r="M143" s="6"/>
      <c r="N143" s="6"/>
      <c r="O143" s="6"/>
      <c r="P143" s="6"/>
      <c r="Q143" s="53"/>
      <c r="R143" s="6"/>
      <c r="S143" s="6"/>
    </row>
    <row r="144" spans="1:19" ht="30.75" customHeight="1" x14ac:dyDescent="0.25">
      <c r="A144" s="99"/>
      <c r="B144" s="28"/>
      <c r="C144" s="28"/>
      <c r="D144" s="6"/>
      <c r="E144" s="6"/>
      <c r="F144" s="28"/>
      <c r="G144" s="28"/>
      <c r="H144" s="6"/>
      <c r="I144" s="6"/>
      <c r="J144" s="6"/>
      <c r="K144" s="6"/>
      <c r="L144" s="6"/>
      <c r="M144" s="6"/>
      <c r="N144" s="6"/>
      <c r="O144" s="6"/>
      <c r="P144" s="6"/>
      <c r="Q144" s="53"/>
      <c r="R144" s="6"/>
      <c r="S144" s="6"/>
    </row>
    <row r="145" spans="1:19" ht="30.75" customHeight="1" x14ac:dyDescent="0.25">
      <c r="A145" s="99"/>
      <c r="B145" s="28"/>
      <c r="C145" s="28"/>
      <c r="D145" s="6"/>
      <c r="E145" s="6"/>
      <c r="F145" s="28"/>
      <c r="G145" s="28"/>
      <c r="H145" s="6"/>
      <c r="I145" s="6"/>
      <c r="J145" s="6"/>
      <c r="K145" s="6"/>
      <c r="L145" s="6"/>
      <c r="M145" s="6"/>
      <c r="N145" s="6"/>
      <c r="O145" s="6"/>
      <c r="P145" s="6"/>
      <c r="Q145" s="53"/>
      <c r="R145" s="6"/>
      <c r="S145" s="6"/>
    </row>
    <row r="146" spans="1:19" ht="30.75" customHeight="1" x14ac:dyDescent="0.25">
      <c r="A146" s="99"/>
      <c r="B146" s="28"/>
      <c r="C146" s="28"/>
      <c r="D146" s="6"/>
      <c r="E146" s="6"/>
      <c r="F146" s="28"/>
      <c r="G146" s="28"/>
      <c r="H146" s="6"/>
      <c r="I146" s="6"/>
      <c r="J146" s="6"/>
      <c r="K146" s="6"/>
      <c r="L146" s="6"/>
      <c r="M146" s="6"/>
      <c r="N146" s="6"/>
      <c r="O146" s="6"/>
      <c r="P146" s="6"/>
      <c r="Q146" s="53"/>
      <c r="R146" s="6"/>
      <c r="S146" s="6"/>
    </row>
    <row r="147" spans="1:19" ht="30.75" customHeight="1" x14ac:dyDescent="0.25">
      <c r="A147" s="99"/>
      <c r="B147" s="28"/>
      <c r="C147" s="28"/>
      <c r="D147" s="6"/>
      <c r="E147" s="6"/>
      <c r="F147" s="28"/>
      <c r="G147" s="28"/>
      <c r="H147" s="6"/>
      <c r="I147" s="6"/>
      <c r="J147" s="6"/>
      <c r="K147" s="6"/>
      <c r="L147" s="6"/>
      <c r="M147" s="6"/>
      <c r="N147" s="6"/>
      <c r="O147" s="6"/>
      <c r="P147" s="6"/>
      <c r="Q147" s="53"/>
      <c r="R147" s="6"/>
      <c r="S147" s="6"/>
    </row>
    <row r="148" spans="1:19" ht="30.75" customHeight="1" x14ac:dyDescent="0.25">
      <c r="A148" s="100"/>
      <c r="B148" s="28"/>
      <c r="C148" s="28"/>
      <c r="D148" s="6"/>
      <c r="E148" s="6"/>
      <c r="F148" s="28"/>
      <c r="G148" s="28"/>
      <c r="H148" s="6"/>
      <c r="I148" s="6"/>
      <c r="J148" s="6"/>
      <c r="K148" s="6"/>
      <c r="L148" s="6"/>
      <c r="M148" s="6"/>
      <c r="N148" s="6"/>
      <c r="O148" s="6"/>
      <c r="P148" s="6"/>
      <c r="Q148" s="53"/>
      <c r="R148" s="6"/>
      <c r="S148" s="6"/>
    </row>
    <row r="149" spans="1:19" ht="30.75" customHeight="1" x14ac:dyDescent="0.25">
      <c r="A149" s="100"/>
      <c r="B149" s="28"/>
      <c r="C149" s="28"/>
      <c r="D149" s="6"/>
      <c r="E149" s="6"/>
      <c r="F149" s="28"/>
      <c r="G149" s="28"/>
      <c r="H149" s="6"/>
      <c r="I149" s="6"/>
      <c r="J149" s="6"/>
      <c r="K149" s="6"/>
      <c r="L149" s="6"/>
      <c r="M149" s="6"/>
      <c r="N149" s="6"/>
      <c r="O149" s="6"/>
      <c r="P149" s="6"/>
      <c r="Q149" s="53"/>
      <c r="R149" s="6"/>
      <c r="S149" s="6"/>
    </row>
    <row r="150" spans="1:19" ht="30.75" customHeight="1" x14ac:dyDescent="0.25">
      <c r="A150" s="99"/>
      <c r="B150" s="28"/>
      <c r="C150" s="28"/>
      <c r="D150" s="6"/>
      <c r="E150" s="6"/>
      <c r="F150" s="28"/>
      <c r="G150" s="28"/>
      <c r="H150" s="6"/>
      <c r="I150" s="6"/>
      <c r="J150" s="6"/>
      <c r="K150" s="6"/>
      <c r="L150" s="6"/>
      <c r="M150" s="6"/>
      <c r="N150" s="6"/>
      <c r="O150" s="6"/>
      <c r="P150" s="6"/>
      <c r="Q150" s="53"/>
      <c r="R150" s="6"/>
      <c r="S150" s="6"/>
    </row>
    <row r="151" spans="1:19" ht="30.75" customHeight="1" x14ac:dyDescent="0.25">
      <c r="A151" s="100"/>
      <c r="B151" s="28"/>
      <c r="C151" s="28"/>
      <c r="D151" s="6"/>
      <c r="E151" s="6"/>
      <c r="F151" s="28"/>
      <c r="G151" s="28"/>
      <c r="H151" s="6"/>
      <c r="I151" s="6"/>
      <c r="J151" s="6"/>
      <c r="K151" s="6"/>
      <c r="L151" s="6"/>
      <c r="M151" s="6"/>
      <c r="N151" s="6"/>
      <c r="O151" s="6"/>
      <c r="P151" s="6"/>
      <c r="Q151" s="53"/>
      <c r="R151" s="6"/>
      <c r="S151" s="6"/>
    </row>
    <row r="152" spans="1:19" ht="30.75" customHeight="1" x14ac:dyDescent="0.25">
      <c r="A152" s="100"/>
      <c r="B152" s="28"/>
      <c r="C152" s="28"/>
      <c r="D152" s="6"/>
      <c r="E152" s="6"/>
      <c r="F152" s="28"/>
      <c r="G152" s="28"/>
      <c r="H152" s="6"/>
      <c r="I152" s="6"/>
      <c r="J152" s="6"/>
      <c r="K152" s="6"/>
      <c r="L152" s="6"/>
      <c r="M152" s="6"/>
      <c r="N152" s="6"/>
      <c r="O152" s="6"/>
      <c r="P152" s="6"/>
      <c r="Q152" s="53"/>
      <c r="R152" s="6"/>
      <c r="S152" s="6"/>
    </row>
    <row r="153" spans="1:19" ht="30.75" customHeight="1" x14ac:dyDescent="0.25">
      <c r="A153" s="100"/>
      <c r="B153" s="28"/>
      <c r="C153" s="28"/>
      <c r="D153" s="6"/>
      <c r="E153" s="6"/>
      <c r="F153" s="28"/>
      <c r="G153" s="28"/>
      <c r="H153" s="6"/>
      <c r="I153" s="6"/>
      <c r="J153" s="6"/>
      <c r="K153" s="6"/>
      <c r="L153" s="6"/>
      <c r="M153" s="6"/>
      <c r="N153" s="6"/>
      <c r="O153" s="6"/>
      <c r="P153" s="6"/>
      <c r="Q153" s="53"/>
      <c r="R153" s="6"/>
      <c r="S153" s="6"/>
    </row>
    <row r="154" spans="1:19" ht="30.75" customHeight="1" x14ac:dyDescent="0.25">
      <c r="A154" s="100"/>
      <c r="B154" s="28"/>
      <c r="C154" s="28"/>
      <c r="D154" s="6"/>
      <c r="E154" s="6"/>
      <c r="F154" s="28"/>
      <c r="G154" s="28"/>
      <c r="H154" s="6"/>
      <c r="I154" s="6"/>
      <c r="J154" s="6"/>
      <c r="K154" s="6"/>
      <c r="L154" s="6"/>
      <c r="M154" s="6"/>
      <c r="N154" s="6"/>
      <c r="O154" s="6"/>
      <c r="P154" s="6"/>
      <c r="Q154" s="53"/>
      <c r="R154" s="6"/>
      <c r="S154" s="6"/>
    </row>
    <row r="155" spans="1:19" ht="30.75" customHeight="1" x14ac:dyDescent="0.25">
      <c r="A155" s="100"/>
      <c r="B155" s="28"/>
      <c r="C155" s="28"/>
      <c r="D155" s="6"/>
      <c r="E155" s="6"/>
      <c r="F155" s="28"/>
      <c r="G155" s="28"/>
      <c r="H155" s="6"/>
      <c r="I155" s="6"/>
      <c r="J155" s="6"/>
      <c r="K155" s="6"/>
      <c r="L155" s="6"/>
      <c r="M155" s="6"/>
      <c r="N155" s="6"/>
      <c r="O155" s="6"/>
      <c r="P155" s="6"/>
      <c r="Q155" s="53"/>
      <c r="R155" s="6"/>
      <c r="S155" s="6"/>
    </row>
    <row r="156" spans="1:19" ht="30.75" customHeight="1" x14ac:dyDescent="0.25">
      <c r="A156" s="100"/>
      <c r="B156" s="28"/>
      <c r="C156" s="28"/>
      <c r="D156" s="6"/>
      <c r="E156" s="6"/>
      <c r="F156" s="28"/>
      <c r="G156" s="28"/>
      <c r="H156" s="6"/>
      <c r="I156" s="6"/>
      <c r="J156" s="6"/>
      <c r="K156" s="6"/>
      <c r="L156" s="6"/>
      <c r="M156" s="6"/>
      <c r="N156" s="6"/>
      <c r="O156" s="6"/>
      <c r="P156" s="6"/>
      <c r="Q156" s="53"/>
      <c r="R156" s="6"/>
      <c r="S156" s="6"/>
    </row>
    <row r="157" spans="1:19" ht="30.75" customHeight="1" x14ac:dyDescent="0.25">
      <c r="A157" s="100"/>
      <c r="B157" s="28"/>
      <c r="C157" s="28"/>
      <c r="D157" s="6"/>
      <c r="E157" s="6"/>
      <c r="F157" s="28"/>
      <c r="G157" s="28"/>
      <c r="H157" s="6"/>
      <c r="I157" s="6"/>
      <c r="J157" s="6"/>
      <c r="K157" s="6"/>
      <c r="L157" s="6"/>
      <c r="M157" s="6"/>
      <c r="N157" s="6"/>
      <c r="O157" s="6"/>
      <c r="P157" s="6"/>
      <c r="Q157" s="53"/>
      <c r="R157" s="6"/>
      <c r="S157" s="6"/>
    </row>
    <row r="158" spans="1:19" ht="30.75" customHeight="1" x14ac:dyDescent="0.25">
      <c r="A158" s="100"/>
      <c r="B158" s="28"/>
      <c r="C158" s="28"/>
      <c r="D158" s="6"/>
      <c r="E158" s="6"/>
      <c r="F158" s="28"/>
      <c r="G158" s="28"/>
      <c r="H158" s="6"/>
      <c r="I158" s="6"/>
      <c r="J158" s="6"/>
      <c r="K158" s="6"/>
      <c r="L158" s="6"/>
      <c r="M158" s="6"/>
      <c r="N158" s="6"/>
      <c r="O158" s="6"/>
      <c r="P158" s="6"/>
      <c r="Q158" s="53"/>
      <c r="R158" s="6"/>
      <c r="S158" s="6"/>
    </row>
    <row r="159" spans="1:19" ht="30.75" customHeight="1" x14ac:dyDescent="0.25">
      <c r="A159" s="99"/>
      <c r="B159" s="28"/>
      <c r="C159" s="28"/>
      <c r="D159" s="6"/>
      <c r="E159" s="6"/>
      <c r="F159" s="28"/>
      <c r="G159" s="28"/>
      <c r="H159" s="6"/>
      <c r="I159" s="6"/>
      <c r="J159" s="6"/>
      <c r="K159" s="6"/>
      <c r="L159" s="6"/>
      <c r="M159" s="6"/>
      <c r="N159" s="6"/>
      <c r="O159" s="6"/>
      <c r="P159" s="6"/>
      <c r="Q159" s="53"/>
      <c r="R159" s="6"/>
      <c r="S159" s="6"/>
    </row>
    <row r="160" spans="1:19" ht="30.75" customHeight="1" x14ac:dyDescent="0.25">
      <c r="A160" s="100"/>
      <c r="B160" s="28"/>
      <c r="C160" s="28"/>
      <c r="D160" s="6"/>
      <c r="E160" s="6"/>
      <c r="F160" s="28"/>
      <c r="G160" s="28"/>
      <c r="H160" s="6"/>
      <c r="I160" s="6"/>
      <c r="J160" s="6"/>
      <c r="K160" s="6"/>
      <c r="L160" s="6"/>
      <c r="M160" s="6"/>
      <c r="N160" s="6"/>
      <c r="O160" s="6"/>
      <c r="P160" s="6"/>
      <c r="Q160" s="53"/>
      <c r="R160" s="6"/>
      <c r="S160" s="6"/>
    </row>
    <row r="161" spans="1:19" ht="30.75" customHeight="1" x14ac:dyDescent="0.25">
      <c r="A161" s="100"/>
      <c r="B161" s="28"/>
      <c r="C161" s="28"/>
      <c r="D161" s="6"/>
      <c r="E161" s="6"/>
      <c r="F161" s="28"/>
      <c r="G161" s="28"/>
      <c r="H161" s="6"/>
      <c r="I161" s="6"/>
      <c r="J161" s="6"/>
      <c r="K161" s="6"/>
      <c r="L161" s="6"/>
      <c r="M161" s="6"/>
      <c r="N161" s="6"/>
      <c r="O161" s="6"/>
      <c r="P161" s="6"/>
      <c r="Q161" s="53"/>
      <c r="R161" s="6"/>
      <c r="S161" s="6"/>
    </row>
    <row r="162" spans="1:19" ht="30.75" customHeight="1" x14ac:dyDescent="0.25">
      <c r="A162" s="100"/>
      <c r="B162" s="28"/>
      <c r="C162" s="28"/>
      <c r="D162" s="6"/>
      <c r="E162" s="6"/>
      <c r="F162" s="28"/>
      <c r="G162" s="28"/>
      <c r="H162" s="6"/>
      <c r="I162" s="6"/>
      <c r="J162" s="6"/>
      <c r="K162" s="6"/>
      <c r="L162" s="6"/>
      <c r="M162" s="6"/>
      <c r="N162" s="6"/>
      <c r="O162" s="6"/>
      <c r="P162" s="6"/>
      <c r="Q162" s="53"/>
      <c r="R162" s="6"/>
      <c r="S162" s="6"/>
    </row>
    <row r="163" spans="1:19" ht="30.75" customHeight="1" x14ac:dyDescent="0.25">
      <c r="A163" s="100"/>
      <c r="B163" s="28"/>
      <c r="C163" s="28"/>
      <c r="D163" s="6"/>
      <c r="E163" s="6"/>
      <c r="F163" s="28"/>
      <c r="G163" s="28"/>
      <c r="H163" s="6"/>
      <c r="I163" s="6"/>
      <c r="J163" s="6"/>
      <c r="K163" s="6"/>
      <c r="L163" s="6"/>
      <c r="M163" s="6"/>
      <c r="N163" s="6"/>
      <c r="O163" s="6"/>
      <c r="P163" s="6"/>
      <c r="Q163" s="53"/>
      <c r="R163" s="6"/>
      <c r="S163" s="6"/>
    </row>
    <row r="164" spans="1:19" ht="30.75" customHeight="1" x14ac:dyDescent="0.25">
      <c r="A164" s="100"/>
      <c r="B164" s="28"/>
      <c r="C164" s="28"/>
      <c r="D164" s="6"/>
      <c r="E164" s="6"/>
      <c r="F164" s="28"/>
      <c r="G164" s="28"/>
      <c r="H164" s="6"/>
      <c r="I164" s="6"/>
      <c r="J164" s="6"/>
      <c r="K164" s="6"/>
      <c r="L164" s="6"/>
      <c r="M164" s="6"/>
      <c r="N164" s="6"/>
      <c r="O164" s="6"/>
      <c r="P164" s="6"/>
      <c r="Q164" s="53"/>
      <c r="R164" s="6"/>
      <c r="S164" s="6"/>
    </row>
    <row r="165" spans="1:19" ht="30.75" customHeight="1" x14ac:dyDescent="0.25">
      <c r="A165" s="100"/>
      <c r="B165" s="28"/>
      <c r="C165" s="28"/>
      <c r="D165" s="28"/>
      <c r="E165" s="28"/>
      <c r="F165" s="28"/>
      <c r="G165" s="28"/>
      <c r="H165" s="6"/>
      <c r="I165" s="6"/>
      <c r="J165" s="6"/>
      <c r="K165" s="6"/>
      <c r="L165" s="6"/>
      <c r="M165" s="6"/>
      <c r="N165" s="6"/>
      <c r="O165" s="6"/>
      <c r="P165" s="6"/>
      <c r="Q165" s="53"/>
      <c r="R165" s="6"/>
      <c r="S165" s="6"/>
    </row>
    <row r="166" spans="1:19" ht="30.75" customHeight="1" x14ac:dyDescent="0.25">
      <c r="A166" s="100"/>
      <c r="B166" s="28"/>
      <c r="C166" s="28"/>
      <c r="D166" s="28"/>
      <c r="E166" s="28"/>
      <c r="F166" s="28"/>
      <c r="G166" s="28"/>
      <c r="H166" s="6"/>
      <c r="I166" s="6"/>
      <c r="J166" s="6"/>
      <c r="K166" s="6"/>
      <c r="L166" s="6"/>
      <c r="M166" s="6"/>
      <c r="N166" s="6"/>
      <c r="O166" s="6"/>
      <c r="P166" s="6"/>
      <c r="Q166" s="53"/>
      <c r="R166" s="6"/>
      <c r="S166" s="6"/>
    </row>
    <row r="167" spans="1:19" ht="30.75" customHeight="1" x14ac:dyDescent="0.25">
      <c r="A167" s="100"/>
      <c r="B167" s="28"/>
      <c r="C167" s="28"/>
      <c r="D167" s="28"/>
      <c r="E167" s="28"/>
      <c r="F167" s="28"/>
      <c r="G167" s="28"/>
      <c r="H167" s="6"/>
      <c r="I167" s="6"/>
      <c r="J167" s="6"/>
      <c r="K167" s="6"/>
      <c r="L167" s="6"/>
      <c r="M167" s="6"/>
      <c r="N167" s="6"/>
      <c r="O167" s="6"/>
      <c r="P167" s="6"/>
      <c r="Q167" s="53"/>
      <c r="R167" s="6"/>
      <c r="S167" s="6"/>
    </row>
    <row r="168" spans="1:19" ht="30.75" customHeight="1" x14ac:dyDescent="0.25">
      <c r="A168" s="99"/>
      <c r="B168" s="28"/>
      <c r="C168" s="28"/>
      <c r="D168" s="28"/>
      <c r="E168" s="28"/>
      <c r="F168" s="28"/>
      <c r="G168" s="28"/>
      <c r="H168" s="6"/>
      <c r="I168" s="6"/>
      <c r="J168" s="6"/>
      <c r="K168" s="6"/>
      <c r="L168" s="6"/>
      <c r="M168" s="6"/>
      <c r="N168" s="6"/>
      <c r="O168" s="6"/>
      <c r="P168" s="6"/>
      <c r="Q168" s="53"/>
      <c r="R168" s="6"/>
      <c r="S168" s="6"/>
    </row>
    <row r="169" spans="1:19" ht="36" customHeight="1" x14ac:dyDescent="0.25">
      <c r="A169" s="100"/>
      <c r="B169" s="28"/>
      <c r="C169" s="28"/>
      <c r="D169" s="28"/>
      <c r="E169" s="28"/>
      <c r="F169" s="28"/>
      <c r="G169" s="28"/>
      <c r="H169" s="6"/>
      <c r="I169" s="6"/>
      <c r="J169" s="6"/>
      <c r="K169" s="6"/>
      <c r="L169" s="6"/>
      <c r="M169" s="6"/>
      <c r="N169" s="6"/>
      <c r="O169" s="6"/>
      <c r="P169" s="6"/>
      <c r="Q169" s="53"/>
      <c r="R169" s="6"/>
      <c r="S169" s="6"/>
    </row>
    <row r="170" spans="1:19" ht="36" customHeight="1" x14ac:dyDescent="0.25">
      <c r="A170" s="100"/>
      <c r="B170" s="28"/>
      <c r="C170" s="28"/>
      <c r="D170" s="28"/>
      <c r="E170" s="28"/>
      <c r="F170" s="28"/>
      <c r="G170" s="28"/>
      <c r="H170" s="6"/>
      <c r="I170" s="6"/>
      <c r="J170" s="6"/>
      <c r="K170" s="6"/>
      <c r="L170" s="6"/>
      <c r="M170" s="6"/>
      <c r="N170" s="6"/>
      <c r="O170" s="6"/>
      <c r="P170" s="6"/>
      <c r="Q170" s="53"/>
      <c r="R170" s="6"/>
      <c r="S170" s="6"/>
    </row>
    <row r="171" spans="1:19" ht="15" x14ac:dyDescent="0.25">
      <c r="A171" s="100"/>
      <c r="B171" s="28"/>
      <c r="C171" s="28"/>
      <c r="D171" s="28"/>
      <c r="E171" s="28"/>
      <c r="F171" s="28"/>
      <c r="G171" s="28"/>
      <c r="H171" s="6"/>
      <c r="I171" s="6"/>
      <c r="J171" s="6"/>
      <c r="K171" s="6"/>
      <c r="L171" s="6"/>
      <c r="M171" s="6"/>
      <c r="N171" s="6"/>
      <c r="O171" s="6"/>
      <c r="P171" s="6"/>
      <c r="Q171" s="53"/>
      <c r="R171" s="6"/>
      <c r="S171" s="6"/>
    </row>
    <row r="172" spans="1:19" ht="15" x14ac:dyDescent="0.25">
      <c r="A172" s="100"/>
      <c r="B172" s="28"/>
      <c r="C172" s="28"/>
      <c r="D172" s="28"/>
      <c r="E172" s="28"/>
      <c r="F172" s="28"/>
      <c r="G172" s="28"/>
      <c r="H172" s="6"/>
      <c r="I172" s="6"/>
      <c r="J172" s="6"/>
      <c r="K172" s="6"/>
      <c r="L172" s="6"/>
      <c r="M172" s="6"/>
      <c r="N172" s="6"/>
      <c r="O172" s="6"/>
      <c r="P172" s="6"/>
      <c r="Q172" s="53"/>
      <c r="R172" s="6"/>
      <c r="S172" s="6"/>
    </row>
    <row r="173" spans="1:19" ht="15" x14ac:dyDescent="0.25">
      <c r="A173" s="100"/>
      <c r="B173" s="28"/>
      <c r="C173" s="28"/>
      <c r="D173" s="28"/>
      <c r="E173" s="28"/>
      <c r="F173" s="28"/>
      <c r="G173" s="28"/>
      <c r="H173" s="6"/>
      <c r="I173" s="6"/>
      <c r="J173" s="6"/>
      <c r="K173" s="6"/>
      <c r="L173" s="6"/>
      <c r="M173" s="6"/>
      <c r="N173" s="6"/>
      <c r="O173" s="6"/>
      <c r="P173" s="6"/>
      <c r="Q173" s="53"/>
      <c r="R173" s="6"/>
      <c r="S173" s="6"/>
    </row>
    <row r="174" spans="1:19" ht="15" x14ac:dyDescent="0.25">
      <c r="A174" s="100"/>
      <c r="B174" s="28"/>
      <c r="C174" s="28"/>
      <c r="D174" s="28"/>
      <c r="E174" s="28"/>
      <c r="F174" s="28"/>
      <c r="G174" s="28"/>
      <c r="H174" s="6"/>
      <c r="I174" s="6"/>
      <c r="J174" s="6"/>
      <c r="K174" s="6"/>
      <c r="L174" s="6"/>
      <c r="M174" s="6"/>
      <c r="N174" s="6"/>
      <c r="O174" s="6"/>
      <c r="P174" s="6"/>
      <c r="Q174" s="53"/>
      <c r="R174" s="6"/>
      <c r="S174" s="6"/>
    </row>
    <row r="175" spans="1:19" ht="15" x14ac:dyDescent="0.25">
      <c r="A175" s="100"/>
      <c r="B175" s="28"/>
      <c r="C175" s="28"/>
      <c r="D175" s="28"/>
      <c r="E175" s="28"/>
      <c r="F175" s="28"/>
      <c r="G175" s="28"/>
      <c r="H175" s="6"/>
      <c r="I175" s="6"/>
      <c r="J175" s="6"/>
      <c r="K175" s="6"/>
      <c r="L175" s="6"/>
      <c r="M175" s="6"/>
      <c r="N175" s="6"/>
      <c r="O175" s="6"/>
      <c r="P175" s="6"/>
      <c r="Q175" s="53"/>
      <c r="R175" s="6"/>
      <c r="S175" s="6"/>
    </row>
    <row r="176" spans="1:19" ht="15" x14ac:dyDescent="0.25">
      <c r="A176" s="100"/>
      <c r="B176" s="28"/>
      <c r="C176" s="28"/>
      <c r="D176" s="28"/>
      <c r="E176" s="28"/>
      <c r="F176" s="28"/>
      <c r="G176" s="28"/>
      <c r="H176" s="6"/>
      <c r="I176" s="6"/>
      <c r="J176" s="6"/>
      <c r="K176" s="6"/>
      <c r="L176" s="6"/>
      <c r="M176" s="6"/>
      <c r="N176" s="6"/>
      <c r="O176" s="6"/>
      <c r="P176" s="6"/>
      <c r="Q176" s="53"/>
      <c r="R176" s="6"/>
      <c r="S176" s="6"/>
    </row>
    <row r="177" spans="1:19" ht="15" x14ac:dyDescent="0.25">
      <c r="A177" s="100"/>
      <c r="B177" s="28"/>
      <c r="C177" s="28"/>
      <c r="D177" s="28"/>
      <c r="E177" s="28"/>
      <c r="F177" s="28"/>
      <c r="G177" s="28"/>
      <c r="H177" s="6"/>
      <c r="I177" s="6"/>
      <c r="J177" s="6"/>
      <c r="K177" s="6"/>
      <c r="L177" s="6"/>
      <c r="M177" s="6"/>
      <c r="N177" s="6"/>
      <c r="O177" s="6"/>
      <c r="P177" s="6"/>
      <c r="Q177" s="53"/>
      <c r="R177" s="6"/>
      <c r="S177" s="6"/>
    </row>
    <row r="178" spans="1:19" ht="23.25" customHeight="1" x14ac:dyDescent="0.25">
      <c r="B178" s="28"/>
      <c r="C178" s="28"/>
      <c r="D178" s="28"/>
      <c r="E178" s="28"/>
      <c r="F178" s="28"/>
      <c r="G178" s="28"/>
      <c r="H178" s="6"/>
      <c r="I178" s="6"/>
      <c r="J178" s="6"/>
      <c r="K178" s="6"/>
      <c r="L178" s="6"/>
      <c r="M178" s="6"/>
      <c r="N178" s="6"/>
      <c r="O178" s="6"/>
      <c r="P178" s="6"/>
      <c r="Q178" s="53"/>
      <c r="R178" s="6"/>
      <c r="S178" s="6"/>
    </row>
    <row r="179" spans="1:19" ht="23.25" customHeight="1" x14ac:dyDescent="0.25">
      <c r="B179" s="28"/>
      <c r="C179" s="28"/>
      <c r="D179" s="28"/>
      <c r="E179" s="28"/>
      <c r="F179" s="28"/>
      <c r="G179" s="28"/>
      <c r="H179" s="6"/>
      <c r="I179" s="6"/>
      <c r="J179" s="6"/>
      <c r="K179" s="6"/>
      <c r="L179" s="6"/>
      <c r="M179" s="6"/>
      <c r="N179" s="6"/>
      <c r="O179" s="6"/>
      <c r="P179" s="6"/>
    </row>
    <row r="180" spans="1:19" ht="23.25" customHeight="1" x14ac:dyDescent="0.25">
      <c r="B180" s="28"/>
      <c r="C180" s="28"/>
      <c r="D180" s="28"/>
      <c r="E180" s="28"/>
      <c r="F180" s="28"/>
      <c r="G180" s="28"/>
      <c r="H180" s="6"/>
      <c r="I180" s="6"/>
      <c r="J180" s="6"/>
      <c r="K180" s="6"/>
      <c r="L180" s="6"/>
      <c r="M180" s="6"/>
      <c r="N180" s="6"/>
      <c r="O180" s="6"/>
      <c r="P180" s="6"/>
    </row>
    <row r="181" spans="1:19" ht="23.25" customHeight="1" x14ac:dyDescent="0.25">
      <c r="B181" s="28"/>
      <c r="C181" s="28"/>
      <c r="D181" s="28"/>
      <c r="E181" s="28"/>
      <c r="F181" s="28"/>
      <c r="G181" s="28"/>
      <c r="H181" s="6"/>
      <c r="I181" s="6"/>
      <c r="J181" s="6"/>
      <c r="K181" s="6"/>
      <c r="L181" s="6"/>
      <c r="M181" s="6"/>
      <c r="N181" s="6"/>
      <c r="O181" s="6"/>
      <c r="P181" s="6"/>
    </row>
    <row r="182" spans="1:19" ht="23.25" customHeight="1" x14ac:dyDescent="0.25">
      <c r="B182" s="28"/>
      <c r="C182" s="28"/>
      <c r="D182" s="28"/>
      <c r="E182" s="28"/>
      <c r="F182" s="28"/>
      <c r="G182" s="28"/>
      <c r="H182" s="6"/>
      <c r="I182" s="6"/>
      <c r="J182" s="6"/>
      <c r="K182" s="6"/>
      <c r="L182" s="6"/>
      <c r="M182" s="6"/>
      <c r="N182" s="6"/>
      <c r="O182" s="6"/>
      <c r="P182" s="6"/>
    </row>
    <row r="183" spans="1:19" ht="23.25" customHeight="1" x14ac:dyDescent="0.25">
      <c r="B183" s="28"/>
      <c r="C183" s="28"/>
      <c r="D183" s="28"/>
      <c r="E183" s="28"/>
      <c r="F183" s="28"/>
      <c r="G183" s="28"/>
      <c r="H183" s="6"/>
      <c r="I183" s="6"/>
      <c r="J183" s="6"/>
      <c r="K183" s="6"/>
      <c r="L183" s="6"/>
      <c r="M183" s="6"/>
      <c r="N183" s="6"/>
      <c r="O183" s="6"/>
      <c r="P183" s="6"/>
    </row>
    <row r="184" spans="1:19" ht="23.25" customHeight="1" x14ac:dyDescent="0.25">
      <c r="B184" s="28"/>
      <c r="C184" s="28"/>
      <c r="D184" s="28"/>
      <c r="E184" s="28"/>
      <c r="F184" s="28"/>
      <c r="G184" s="28"/>
      <c r="H184" s="6"/>
      <c r="I184" s="6"/>
      <c r="J184" s="6"/>
      <c r="K184" s="6"/>
      <c r="L184" s="6"/>
      <c r="M184" s="6"/>
      <c r="N184" s="6"/>
      <c r="O184" s="6"/>
      <c r="P184" s="6"/>
    </row>
    <row r="185" spans="1:19" ht="23.25" customHeight="1" x14ac:dyDescent="0.25">
      <c r="B185" s="28"/>
      <c r="C185" s="28"/>
      <c r="D185" s="28"/>
      <c r="E185" s="28"/>
      <c r="F185" s="28"/>
      <c r="G185" s="28"/>
      <c r="H185" s="6"/>
      <c r="I185" s="6"/>
      <c r="J185" s="6"/>
      <c r="K185" s="6"/>
      <c r="L185" s="6"/>
      <c r="M185" s="6"/>
      <c r="N185" s="6"/>
      <c r="O185" s="6"/>
      <c r="P185" s="6"/>
    </row>
    <row r="186" spans="1:19" ht="23.25" customHeight="1" x14ac:dyDescent="0.25">
      <c r="B186" s="28"/>
      <c r="C186" s="28"/>
      <c r="D186" s="28"/>
      <c r="E186" s="28"/>
      <c r="F186" s="28"/>
      <c r="G186" s="28"/>
      <c r="H186" s="6"/>
      <c r="I186" s="6"/>
      <c r="J186" s="6"/>
      <c r="K186" s="6"/>
      <c r="L186" s="6"/>
      <c r="M186" s="6"/>
      <c r="N186" s="6"/>
      <c r="O186" s="6"/>
      <c r="P186" s="6"/>
    </row>
    <row r="187" spans="1:19" ht="23.25" customHeight="1" x14ac:dyDescent="0.25">
      <c r="B187" s="28"/>
      <c r="C187" s="28"/>
      <c r="D187" s="28"/>
      <c r="E187" s="28"/>
      <c r="F187" s="28"/>
      <c r="G187" s="28"/>
      <c r="H187" s="6"/>
      <c r="I187" s="6"/>
      <c r="J187" s="6"/>
      <c r="K187" s="6"/>
      <c r="L187" s="6"/>
      <c r="M187" s="6"/>
      <c r="N187" s="6"/>
      <c r="O187" s="6"/>
      <c r="P187" s="6"/>
    </row>
    <row r="188" spans="1:19" ht="23.25" customHeight="1" x14ac:dyDescent="0.25">
      <c r="B188" s="28"/>
      <c r="C188" s="28"/>
      <c r="D188" s="28"/>
      <c r="E188" s="28"/>
      <c r="F188" s="28"/>
      <c r="G188" s="28"/>
      <c r="H188" s="6"/>
      <c r="I188" s="6"/>
      <c r="J188" s="6"/>
      <c r="K188" s="6"/>
      <c r="L188" s="6"/>
      <c r="M188" s="6"/>
      <c r="N188" s="6"/>
      <c r="O188" s="6"/>
      <c r="P188" s="6"/>
    </row>
    <row r="189" spans="1:19" ht="23.25" customHeight="1" x14ac:dyDescent="0.25">
      <c r="B189" s="28"/>
      <c r="C189" s="28"/>
      <c r="D189" s="28"/>
      <c r="E189" s="28"/>
      <c r="F189" s="28"/>
      <c r="G189" s="28"/>
      <c r="H189" s="6"/>
      <c r="I189" s="6"/>
      <c r="J189" s="6"/>
      <c r="K189" s="6"/>
      <c r="L189" s="6"/>
      <c r="M189" s="6"/>
      <c r="N189" s="6"/>
      <c r="O189" s="6"/>
      <c r="P189" s="6"/>
    </row>
    <row r="190" spans="1:19" ht="23.25" customHeight="1" x14ac:dyDescent="0.25">
      <c r="B190" s="28"/>
      <c r="C190" s="28"/>
      <c r="D190" s="28"/>
      <c r="E190" s="28"/>
      <c r="F190" s="28"/>
      <c r="G190" s="28"/>
      <c r="H190" s="6"/>
      <c r="I190" s="6"/>
      <c r="J190" s="6"/>
      <c r="K190" s="6"/>
      <c r="L190" s="6"/>
      <c r="M190" s="6"/>
      <c r="N190" s="6"/>
      <c r="O190" s="6"/>
      <c r="P190" s="6"/>
    </row>
    <row r="191" spans="1:19" ht="23.25" customHeight="1" x14ac:dyDescent="0.25">
      <c r="B191" s="28"/>
      <c r="C191" s="28"/>
      <c r="D191" s="28"/>
      <c r="E191" s="28"/>
      <c r="F191" s="28"/>
      <c r="G191" s="28"/>
      <c r="H191" s="6"/>
      <c r="I191" s="6"/>
      <c r="J191" s="6"/>
      <c r="K191" s="6"/>
      <c r="L191" s="6"/>
      <c r="M191" s="6"/>
      <c r="N191" s="6"/>
      <c r="O191" s="6"/>
      <c r="P191" s="6"/>
    </row>
    <row r="192" spans="1:19" ht="23.25" customHeight="1" x14ac:dyDescent="0.25">
      <c r="B192"/>
      <c r="C192"/>
      <c r="D192"/>
      <c r="E192"/>
      <c r="F192"/>
      <c r="G192"/>
    </row>
    <row r="193" spans="2:7" ht="23.25" customHeight="1" x14ac:dyDescent="0.25">
      <c r="B193"/>
      <c r="C193"/>
      <c r="D193"/>
      <c r="E193"/>
      <c r="F193"/>
      <c r="G193"/>
    </row>
    <row r="194" spans="2:7" ht="23.25" customHeight="1" x14ac:dyDescent="0.25">
      <c r="B194"/>
      <c r="C194"/>
      <c r="D194"/>
      <c r="E194"/>
      <c r="F194"/>
      <c r="G194"/>
    </row>
    <row r="195" spans="2:7" ht="23.25" customHeight="1" x14ac:dyDescent="0.25">
      <c r="B195"/>
      <c r="C195"/>
      <c r="D195"/>
      <c r="E195"/>
      <c r="F195"/>
      <c r="G195"/>
    </row>
    <row r="196" spans="2:7" ht="23.25" customHeight="1" x14ac:dyDescent="0.25">
      <c r="B196"/>
      <c r="C196"/>
      <c r="D196"/>
      <c r="E196"/>
      <c r="F196"/>
      <c r="G196"/>
    </row>
    <row r="197" spans="2:7" ht="23.25" customHeight="1" x14ac:dyDescent="0.25">
      <c r="B197"/>
      <c r="C197"/>
      <c r="D197"/>
      <c r="E197"/>
      <c r="F197"/>
      <c r="G197"/>
    </row>
    <row r="198" spans="2:7" ht="23.25" customHeight="1" x14ac:dyDescent="0.25">
      <c r="B198"/>
      <c r="C198"/>
      <c r="D198"/>
      <c r="E198"/>
      <c r="F198"/>
      <c r="G198"/>
    </row>
    <row r="199" spans="2:7" ht="23.25" customHeight="1" x14ac:dyDescent="0.25">
      <c r="B199"/>
      <c r="C199"/>
      <c r="D199"/>
      <c r="E199"/>
      <c r="F199"/>
      <c r="G199"/>
    </row>
    <row r="200" spans="2:7" ht="23.25" customHeight="1" x14ac:dyDescent="0.25">
      <c r="B200"/>
      <c r="C200"/>
      <c r="D200"/>
      <c r="E200"/>
      <c r="F200"/>
      <c r="G200"/>
    </row>
    <row r="201" spans="2:7" ht="23.25" customHeight="1" x14ac:dyDescent="0.25">
      <c r="B201"/>
      <c r="C201"/>
      <c r="D201"/>
      <c r="E201"/>
      <c r="F201"/>
      <c r="G201"/>
    </row>
    <row r="202" spans="2:7" ht="23.25" customHeight="1" x14ac:dyDescent="0.25">
      <c r="B202"/>
      <c r="C202"/>
      <c r="D202"/>
      <c r="E202"/>
      <c r="F202"/>
      <c r="G202"/>
    </row>
    <row r="203" spans="2:7" ht="23.25" customHeight="1" x14ac:dyDescent="0.25">
      <c r="B203"/>
      <c r="C203"/>
      <c r="D203"/>
      <c r="E203"/>
      <c r="F203"/>
      <c r="G203"/>
    </row>
    <row r="204" spans="2:7" ht="23.25" customHeight="1" x14ac:dyDescent="0.25">
      <c r="B204"/>
      <c r="C204"/>
      <c r="D204"/>
      <c r="E204"/>
      <c r="F204"/>
      <c r="G204"/>
    </row>
    <row r="205" spans="2:7" ht="23.25" customHeight="1" x14ac:dyDescent="0.25">
      <c r="B205"/>
      <c r="C205"/>
      <c r="D205"/>
      <c r="E205"/>
      <c r="F205"/>
      <c r="G205"/>
    </row>
    <row r="206" spans="2:7" ht="23.25" customHeight="1" x14ac:dyDescent="0.25">
      <c r="B206"/>
      <c r="C206"/>
      <c r="D206"/>
      <c r="E206"/>
      <c r="F206"/>
      <c r="G206"/>
    </row>
    <row r="207" spans="2:7" ht="23.25" customHeight="1" x14ac:dyDescent="0.25">
      <c r="B207"/>
      <c r="C207"/>
      <c r="D207"/>
      <c r="E207"/>
      <c r="F207"/>
      <c r="G207"/>
    </row>
    <row r="208" spans="2:7" ht="23.25" customHeight="1" x14ac:dyDescent="0.25">
      <c r="B208"/>
      <c r="C208"/>
      <c r="D208"/>
      <c r="E208"/>
      <c r="F208"/>
      <c r="G208"/>
    </row>
    <row r="209" spans="2:7" ht="23.25" customHeight="1" x14ac:dyDescent="0.25">
      <c r="B209"/>
      <c r="C209"/>
      <c r="D209"/>
      <c r="E209"/>
      <c r="F209"/>
      <c r="G209"/>
    </row>
    <row r="210" spans="2:7" ht="23.25" customHeight="1" x14ac:dyDescent="0.25">
      <c r="B210"/>
      <c r="C210"/>
      <c r="D210"/>
      <c r="E210"/>
      <c r="F210"/>
      <c r="G210"/>
    </row>
    <row r="211" spans="2:7" ht="23.25" customHeight="1" x14ac:dyDescent="0.25">
      <c r="B211"/>
      <c r="C211"/>
      <c r="D211"/>
      <c r="E211"/>
      <c r="F211"/>
      <c r="G211"/>
    </row>
    <row r="212" spans="2:7" ht="23.25" customHeight="1" x14ac:dyDescent="0.25">
      <c r="B212"/>
      <c r="C212"/>
      <c r="D212"/>
      <c r="E212"/>
      <c r="F212"/>
      <c r="G212"/>
    </row>
    <row r="213" spans="2:7" ht="23.25" customHeight="1" x14ac:dyDescent="0.25">
      <c r="B213"/>
      <c r="C213"/>
      <c r="D213"/>
      <c r="E213"/>
      <c r="F213"/>
      <c r="G213"/>
    </row>
    <row r="214" spans="2:7" ht="23.25" customHeight="1" x14ac:dyDescent="0.25">
      <c r="B214"/>
      <c r="C214"/>
      <c r="D214"/>
      <c r="E214"/>
      <c r="F214"/>
      <c r="G214"/>
    </row>
    <row r="215" spans="2:7" ht="23.25" customHeight="1" x14ac:dyDescent="0.25">
      <c r="B215"/>
      <c r="C215"/>
      <c r="D215"/>
      <c r="E215"/>
      <c r="F215"/>
      <c r="G215"/>
    </row>
    <row r="216" spans="2:7" ht="23.25" customHeight="1" x14ac:dyDescent="0.25">
      <c r="B216"/>
      <c r="C216"/>
      <c r="D216"/>
      <c r="E216"/>
      <c r="F216"/>
      <c r="G216"/>
    </row>
    <row r="217" spans="2:7" ht="23.25" customHeight="1" x14ac:dyDescent="0.25">
      <c r="B217"/>
      <c r="C217"/>
      <c r="D217"/>
      <c r="E217"/>
      <c r="F217"/>
      <c r="G217"/>
    </row>
    <row r="218" spans="2:7" ht="23.25" customHeight="1" x14ac:dyDescent="0.25">
      <c r="B218"/>
      <c r="C218"/>
      <c r="D218"/>
      <c r="E218"/>
      <c r="F218"/>
      <c r="G218"/>
    </row>
    <row r="219" spans="2:7" ht="23.25" customHeight="1" x14ac:dyDescent="0.25">
      <c r="B219"/>
      <c r="C219"/>
      <c r="D219"/>
      <c r="E219"/>
      <c r="F219"/>
      <c r="G219"/>
    </row>
    <row r="220" spans="2:7" ht="23.25" customHeight="1" x14ac:dyDescent="0.25">
      <c r="B220"/>
      <c r="C220"/>
      <c r="D220"/>
      <c r="E220"/>
      <c r="F220"/>
      <c r="G220"/>
    </row>
    <row r="221" spans="2:7" ht="23.25" customHeight="1" x14ac:dyDescent="0.25">
      <c r="B221"/>
      <c r="C221"/>
      <c r="D221"/>
      <c r="E221"/>
      <c r="F221"/>
      <c r="G221"/>
    </row>
    <row r="222" spans="2:7" ht="23.25" customHeight="1" x14ac:dyDescent="0.25">
      <c r="B222"/>
      <c r="C222"/>
      <c r="D222"/>
      <c r="E222"/>
      <c r="F222"/>
      <c r="G222"/>
    </row>
    <row r="223" spans="2:7" ht="23.25" customHeight="1" x14ac:dyDescent="0.25">
      <c r="B223"/>
      <c r="C223"/>
      <c r="D223"/>
      <c r="E223"/>
      <c r="F223"/>
      <c r="G223"/>
    </row>
    <row r="224" spans="2:7" ht="23.25" customHeight="1" x14ac:dyDescent="0.25">
      <c r="B224"/>
      <c r="C224"/>
      <c r="D224"/>
      <c r="E224"/>
      <c r="F224"/>
      <c r="G224"/>
    </row>
    <row r="225" spans="2:7" ht="23.25" customHeight="1" x14ac:dyDescent="0.25">
      <c r="B225"/>
      <c r="C225"/>
      <c r="D225"/>
      <c r="E225"/>
      <c r="F225"/>
      <c r="G225"/>
    </row>
    <row r="226" spans="2:7" ht="23.25" customHeight="1" x14ac:dyDescent="0.25">
      <c r="B226"/>
      <c r="C226"/>
      <c r="D226"/>
      <c r="E226"/>
      <c r="F226"/>
      <c r="G226"/>
    </row>
    <row r="227" spans="2:7" ht="23.25" customHeight="1" x14ac:dyDescent="0.25">
      <c r="B227"/>
      <c r="C227"/>
      <c r="D227"/>
      <c r="E227"/>
      <c r="F227"/>
      <c r="G227"/>
    </row>
    <row r="228" spans="2:7" ht="23.25" customHeight="1" x14ac:dyDescent="0.25">
      <c r="B228"/>
      <c r="C228"/>
      <c r="D228"/>
      <c r="E228"/>
      <c r="F228"/>
      <c r="G228"/>
    </row>
    <row r="229" spans="2:7" ht="23.25" customHeight="1" x14ac:dyDescent="0.25">
      <c r="B229"/>
      <c r="C229"/>
      <c r="D229"/>
      <c r="E229"/>
      <c r="F229"/>
      <c r="G229"/>
    </row>
    <row r="230" spans="2:7" ht="23.25" customHeight="1" x14ac:dyDescent="0.25">
      <c r="B230"/>
      <c r="C230"/>
      <c r="D230"/>
      <c r="E230"/>
      <c r="F230"/>
      <c r="G230"/>
    </row>
    <row r="231" spans="2:7" ht="23.25" customHeight="1" x14ac:dyDescent="0.25">
      <c r="B231"/>
      <c r="C231"/>
      <c r="D231"/>
      <c r="E231"/>
      <c r="F231"/>
      <c r="G231"/>
    </row>
    <row r="232" spans="2:7" ht="23.25" customHeight="1" x14ac:dyDescent="0.25">
      <c r="B232"/>
      <c r="C232"/>
      <c r="D232"/>
      <c r="E232"/>
      <c r="F232"/>
      <c r="G232"/>
    </row>
    <row r="233" spans="2:7" ht="23.25" customHeight="1" x14ac:dyDescent="0.25">
      <c r="B233"/>
      <c r="C233"/>
      <c r="D233"/>
      <c r="E233"/>
      <c r="F233"/>
      <c r="G233"/>
    </row>
    <row r="234" spans="2:7" ht="23.25" customHeight="1" x14ac:dyDescent="0.25">
      <c r="B234"/>
      <c r="C234"/>
      <c r="D234"/>
      <c r="E234"/>
      <c r="F234"/>
      <c r="G234"/>
    </row>
    <row r="235" spans="2:7" ht="23.25" customHeight="1" x14ac:dyDescent="0.25">
      <c r="B235"/>
      <c r="C235"/>
      <c r="D235"/>
      <c r="E235"/>
      <c r="F235"/>
      <c r="G235"/>
    </row>
    <row r="236" spans="2:7" ht="23.25" customHeight="1" x14ac:dyDescent="0.25">
      <c r="B236"/>
      <c r="C236"/>
      <c r="D236"/>
      <c r="E236"/>
      <c r="F236"/>
      <c r="G236"/>
    </row>
    <row r="237" spans="2:7" ht="23.25" customHeight="1" x14ac:dyDescent="0.25">
      <c r="B237"/>
      <c r="C237"/>
      <c r="D237"/>
      <c r="E237"/>
      <c r="F237"/>
      <c r="G237"/>
    </row>
    <row r="238" spans="2:7" ht="23.25" customHeight="1" x14ac:dyDescent="0.25">
      <c r="B238"/>
      <c r="C238"/>
      <c r="D238"/>
      <c r="E238"/>
      <c r="F238"/>
      <c r="G238"/>
    </row>
    <row r="239" spans="2:7" ht="23.25" customHeight="1" x14ac:dyDescent="0.25">
      <c r="B239"/>
      <c r="C239"/>
      <c r="D239"/>
      <c r="E239"/>
      <c r="F239"/>
      <c r="G239"/>
    </row>
    <row r="240" spans="2:7" ht="23.25" customHeight="1" x14ac:dyDescent="0.25">
      <c r="B240"/>
      <c r="C240"/>
      <c r="D240"/>
      <c r="E240"/>
      <c r="F240"/>
      <c r="G240"/>
    </row>
    <row r="241" spans="2:14" ht="23.25" customHeight="1" x14ac:dyDescent="0.25">
      <c r="B241"/>
      <c r="C241"/>
      <c r="D241"/>
      <c r="E241"/>
      <c r="F241"/>
      <c r="G241"/>
    </row>
    <row r="242" spans="2:14" ht="23.25" customHeight="1" x14ac:dyDescent="0.25">
      <c r="B242"/>
      <c r="C242"/>
      <c r="D242"/>
      <c r="E242"/>
      <c r="F242"/>
      <c r="G242"/>
    </row>
    <row r="243" spans="2:14" ht="23.25" customHeight="1" x14ac:dyDescent="0.25">
      <c r="B243"/>
      <c r="C243"/>
      <c r="D243"/>
      <c r="E243"/>
      <c r="F243"/>
      <c r="G243"/>
    </row>
    <row r="244" spans="2:14" ht="23.25" customHeight="1" x14ac:dyDescent="0.25">
      <c r="B244"/>
      <c r="C244"/>
      <c r="D244"/>
      <c r="E244"/>
      <c r="F244"/>
      <c r="G244"/>
    </row>
    <row r="245" spans="2:14" ht="23.25" customHeight="1" x14ac:dyDescent="0.25">
      <c r="B245"/>
      <c r="C245"/>
      <c r="D245"/>
      <c r="E245"/>
      <c r="F245"/>
      <c r="G245"/>
    </row>
    <row r="246" spans="2:14" ht="23.25" customHeight="1" x14ac:dyDescent="0.25">
      <c r="B246"/>
      <c r="C246"/>
      <c r="D246"/>
      <c r="E246"/>
      <c r="F246"/>
      <c r="G246"/>
    </row>
    <row r="247" spans="2:14" ht="23.25" customHeight="1" x14ac:dyDescent="0.25">
      <c r="B247"/>
      <c r="C247"/>
      <c r="D247"/>
      <c r="E247"/>
      <c r="F247"/>
      <c r="G247"/>
    </row>
    <row r="248" spans="2:14" ht="23.25" customHeight="1" x14ac:dyDescent="0.25">
      <c r="B248"/>
      <c r="C248"/>
      <c r="D248"/>
      <c r="E248"/>
      <c r="F248"/>
      <c r="G248"/>
    </row>
    <row r="249" spans="2:14" ht="23.25" customHeight="1" x14ac:dyDescent="0.25">
      <c r="B249"/>
      <c r="C249"/>
      <c r="D249"/>
      <c r="E249"/>
      <c r="F249"/>
      <c r="G249"/>
    </row>
    <row r="250" spans="2:14" ht="23.25" customHeight="1" x14ac:dyDescent="0.25">
      <c r="B250"/>
      <c r="C250"/>
      <c r="D250"/>
      <c r="E250"/>
      <c r="F250"/>
      <c r="G250"/>
    </row>
    <row r="251" spans="2:14" ht="23.25" customHeight="1" x14ac:dyDescent="0.25">
      <c r="B251"/>
      <c r="C251"/>
      <c r="D251"/>
      <c r="E251"/>
      <c r="F251"/>
      <c r="G251"/>
    </row>
    <row r="252" spans="2:14" ht="23.25" customHeight="1" x14ac:dyDescent="0.25">
      <c r="B252"/>
      <c r="C252"/>
      <c r="D252"/>
      <c r="E252"/>
      <c r="F252"/>
      <c r="G252"/>
      <c r="J252"/>
      <c r="K252"/>
    </row>
    <row r="253" spans="2:14" ht="23.25" customHeight="1" x14ac:dyDescent="0.25">
      <c r="B253"/>
      <c r="C253"/>
      <c r="D253"/>
      <c r="E253"/>
      <c r="F253"/>
      <c r="G253"/>
    </row>
    <row r="254" spans="2:14" ht="23.25" customHeight="1" x14ac:dyDescent="0.25">
      <c r="B254"/>
      <c r="C254"/>
      <c r="D254"/>
      <c r="E254"/>
      <c r="F254"/>
      <c r="G254"/>
      <c r="J254" s="306" t="s">
        <v>1286</v>
      </c>
      <c r="K254" s="306" t="s">
        <v>322</v>
      </c>
      <c r="L254"/>
      <c r="M254"/>
      <c r="N254"/>
    </row>
    <row r="255" spans="2:14" ht="23.25" customHeight="1" x14ac:dyDescent="0.25">
      <c r="B255"/>
      <c r="C255"/>
      <c r="D255"/>
      <c r="E255"/>
      <c r="F255"/>
      <c r="G255"/>
      <c r="J255" s="306" t="s">
        <v>318</v>
      </c>
      <c r="K255" t="s">
        <v>1234</v>
      </c>
      <c r="L255" t="s">
        <v>432</v>
      </c>
      <c r="M255" t="s">
        <v>1920</v>
      </c>
      <c r="N255" t="s">
        <v>319</v>
      </c>
    </row>
    <row r="256" spans="2:14" ht="23.25" customHeight="1" x14ac:dyDescent="0.25">
      <c r="B256"/>
      <c r="C256"/>
      <c r="D256"/>
      <c r="E256"/>
      <c r="F256"/>
      <c r="G256"/>
      <c r="J256" s="307" t="s">
        <v>854</v>
      </c>
      <c r="K256" s="308">
        <v>3</v>
      </c>
      <c r="L256" s="308">
        <v>6</v>
      </c>
      <c r="M256" s="308">
        <v>1</v>
      </c>
      <c r="N256" s="308">
        <v>10</v>
      </c>
    </row>
    <row r="257" spans="2:14" ht="23.25" customHeight="1" x14ac:dyDescent="0.25">
      <c r="B257"/>
      <c r="C257"/>
      <c r="D257"/>
      <c r="E257"/>
      <c r="F257"/>
      <c r="G257"/>
      <c r="J257" s="307" t="s">
        <v>621</v>
      </c>
      <c r="K257" s="308">
        <v>1</v>
      </c>
      <c r="L257" s="308">
        <v>1</v>
      </c>
      <c r="M257" s="308">
        <v>1</v>
      </c>
      <c r="N257" s="308">
        <v>3</v>
      </c>
    </row>
    <row r="258" spans="2:14" ht="23.25" customHeight="1" x14ac:dyDescent="0.25">
      <c r="B258"/>
      <c r="C258"/>
      <c r="D258"/>
      <c r="E258"/>
      <c r="F258"/>
      <c r="G258"/>
      <c r="J258" s="307" t="s">
        <v>677</v>
      </c>
      <c r="K258" s="308">
        <v>4</v>
      </c>
      <c r="L258" s="308">
        <v>2</v>
      </c>
      <c r="M258" s="308"/>
      <c r="N258" s="308">
        <v>6</v>
      </c>
    </row>
    <row r="259" spans="2:14" ht="23.25" customHeight="1" x14ac:dyDescent="0.25">
      <c r="B259"/>
      <c r="C259"/>
      <c r="D259"/>
      <c r="E259"/>
      <c r="F259"/>
      <c r="G259"/>
      <c r="J259" s="307" t="s">
        <v>1058</v>
      </c>
      <c r="K259" s="308">
        <v>1</v>
      </c>
      <c r="L259" s="308">
        <v>2</v>
      </c>
      <c r="M259" s="308">
        <v>1</v>
      </c>
      <c r="N259" s="308">
        <v>4</v>
      </c>
    </row>
    <row r="260" spans="2:14" ht="23.25" customHeight="1" x14ac:dyDescent="0.25">
      <c r="B260"/>
      <c r="C260"/>
      <c r="D260"/>
      <c r="E260"/>
      <c r="F260"/>
      <c r="G260"/>
      <c r="J260" s="307" t="s">
        <v>705</v>
      </c>
      <c r="K260" s="308">
        <v>1</v>
      </c>
      <c r="L260" s="308">
        <v>1</v>
      </c>
      <c r="M260" s="308"/>
      <c r="N260" s="308">
        <v>2</v>
      </c>
    </row>
    <row r="261" spans="2:14" ht="23.25" customHeight="1" x14ac:dyDescent="0.25">
      <c r="B261"/>
      <c r="C261"/>
      <c r="D261"/>
      <c r="E261"/>
      <c r="F261"/>
      <c r="G261"/>
      <c r="J261" s="307" t="s">
        <v>513</v>
      </c>
      <c r="K261" s="308">
        <v>9</v>
      </c>
      <c r="L261" s="308">
        <v>15</v>
      </c>
      <c r="M261" s="308">
        <v>3</v>
      </c>
      <c r="N261" s="308">
        <v>27</v>
      </c>
    </row>
    <row r="262" spans="2:14" ht="23.25" customHeight="1" x14ac:dyDescent="0.25">
      <c r="B262"/>
      <c r="C262"/>
      <c r="D262"/>
      <c r="E262"/>
      <c r="F262"/>
      <c r="G262"/>
      <c r="J262" s="307" t="s">
        <v>735</v>
      </c>
      <c r="K262" s="308">
        <v>2</v>
      </c>
      <c r="L262" s="308">
        <v>1</v>
      </c>
      <c r="M262" s="308"/>
      <c r="N262" s="308">
        <v>3</v>
      </c>
    </row>
    <row r="263" spans="2:14" ht="23.25" customHeight="1" x14ac:dyDescent="0.25">
      <c r="B263"/>
      <c r="C263"/>
      <c r="D263"/>
      <c r="E263"/>
      <c r="F263"/>
      <c r="G263"/>
      <c r="J263" s="307" t="s">
        <v>795</v>
      </c>
      <c r="K263" s="308">
        <v>2</v>
      </c>
      <c r="L263" s="308">
        <v>3</v>
      </c>
      <c r="M263" s="308"/>
      <c r="N263" s="308">
        <v>5</v>
      </c>
    </row>
    <row r="264" spans="2:14" ht="23.25" customHeight="1" x14ac:dyDescent="0.25">
      <c r="B264"/>
      <c r="C264"/>
      <c r="D264"/>
      <c r="E264"/>
      <c r="F264"/>
      <c r="G264"/>
      <c r="J264" s="307" t="s">
        <v>551</v>
      </c>
      <c r="K264" s="308">
        <v>2</v>
      </c>
      <c r="L264" s="308">
        <v>2</v>
      </c>
      <c r="M264" s="308"/>
      <c r="N264" s="308">
        <v>4</v>
      </c>
    </row>
    <row r="265" spans="2:14" ht="23.25" customHeight="1" x14ac:dyDescent="0.25">
      <c r="B265"/>
      <c r="C265"/>
      <c r="D265"/>
      <c r="E265"/>
      <c r="F265"/>
      <c r="G265"/>
      <c r="J265" s="307" t="s">
        <v>1010</v>
      </c>
      <c r="K265" s="308">
        <v>1</v>
      </c>
      <c r="L265" s="308">
        <v>1</v>
      </c>
      <c r="M265" s="308"/>
      <c r="N265" s="308">
        <v>2</v>
      </c>
    </row>
    <row r="266" spans="2:14" ht="23.25" customHeight="1" x14ac:dyDescent="0.25">
      <c r="B266"/>
      <c r="C266"/>
      <c r="D266"/>
      <c r="E266"/>
      <c r="F266"/>
      <c r="G266"/>
      <c r="J266" s="307" t="s">
        <v>612</v>
      </c>
      <c r="K266" s="308">
        <v>2</v>
      </c>
      <c r="L266" s="308"/>
      <c r="M266" s="308"/>
      <c r="N266" s="308">
        <v>2</v>
      </c>
    </row>
    <row r="267" spans="2:14" ht="23.25" customHeight="1" x14ac:dyDescent="0.25">
      <c r="J267" s="307" t="s">
        <v>557</v>
      </c>
      <c r="K267" s="308">
        <v>5</v>
      </c>
      <c r="L267" s="308">
        <v>6</v>
      </c>
      <c r="M267" s="308">
        <v>1</v>
      </c>
      <c r="N267" s="308">
        <v>12</v>
      </c>
    </row>
    <row r="268" spans="2:14" ht="23.25" customHeight="1" x14ac:dyDescent="0.25">
      <c r="J268" s="307" t="s">
        <v>490</v>
      </c>
      <c r="K268" s="308">
        <v>14</v>
      </c>
      <c r="L268" s="308">
        <v>7</v>
      </c>
      <c r="M268" s="308">
        <v>2</v>
      </c>
      <c r="N268" s="308">
        <v>23</v>
      </c>
    </row>
    <row r="269" spans="2:14" ht="23.25" customHeight="1" x14ac:dyDescent="0.25">
      <c r="J269" s="307" t="s">
        <v>668</v>
      </c>
      <c r="K269" s="308">
        <v>1</v>
      </c>
      <c r="L269" s="308"/>
      <c r="M269" s="308"/>
      <c r="N269" s="308">
        <v>1</v>
      </c>
    </row>
    <row r="270" spans="2:14" ht="23.25" customHeight="1" x14ac:dyDescent="0.25">
      <c r="J270" s="307" t="s">
        <v>1117</v>
      </c>
      <c r="K270" s="308">
        <v>1</v>
      </c>
      <c r="L270" s="308"/>
      <c r="M270" s="308"/>
      <c r="N270" s="308">
        <v>1</v>
      </c>
    </row>
    <row r="271" spans="2:14" ht="23.25" customHeight="1" x14ac:dyDescent="0.25">
      <c r="J271" s="307" t="s">
        <v>519</v>
      </c>
      <c r="K271" s="308">
        <v>7</v>
      </c>
      <c r="L271" s="308">
        <v>6</v>
      </c>
      <c r="M271" s="308">
        <v>1</v>
      </c>
      <c r="N271" s="308">
        <v>14</v>
      </c>
    </row>
    <row r="272" spans="2:14" ht="23.25" customHeight="1" x14ac:dyDescent="0.25">
      <c r="J272" s="307" t="s">
        <v>845</v>
      </c>
      <c r="K272" s="308">
        <v>7</v>
      </c>
      <c r="L272" s="308">
        <v>2</v>
      </c>
      <c r="M272" s="308"/>
      <c r="N272" s="308">
        <v>9</v>
      </c>
    </row>
    <row r="273" spans="10:14" ht="23.25" customHeight="1" x14ac:dyDescent="0.25">
      <c r="J273" s="307" t="s">
        <v>471</v>
      </c>
      <c r="K273" s="308">
        <v>15</v>
      </c>
      <c r="L273" s="308">
        <v>24</v>
      </c>
      <c r="M273" s="308">
        <v>3</v>
      </c>
      <c r="N273" s="308">
        <v>42</v>
      </c>
    </row>
    <row r="274" spans="10:14" ht="23.25" customHeight="1" x14ac:dyDescent="0.25">
      <c r="J274" s="307" t="s">
        <v>319</v>
      </c>
      <c r="K274" s="308">
        <v>78</v>
      </c>
      <c r="L274" s="308">
        <v>79</v>
      </c>
      <c r="M274" s="308">
        <v>13</v>
      </c>
      <c r="N274" s="308">
        <v>170</v>
      </c>
    </row>
    <row r="275" spans="10:14" ht="23.25" customHeight="1" x14ac:dyDescent="0.25">
      <c r="J275"/>
      <c r="K275"/>
      <c r="L275"/>
      <c r="M275"/>
    </row>
    <row r="276" spans="10:14" ht="23.25" customHeight="1" x14ac:dyDescent="0.25">
      <c r="J276"/>
      <c r="K276"/>
      <c r="L276"/>
      <c r="M276"/>
    </row>
    <row r="277" spans="10:14" ht="23.25" customHeight="1" x14ac:dyDescent="0.25">
      <c r="J277"/>
      <c r="K277"/>
      <c r="L277"/>
      <c r="M277"/>
    </row>
    <row r="278" spans="10:14" ht="23.25" customHeight="1" x14ac:dyDescent="0.25">
      <c r="J278"/>
      <c r="K278"/>
      <c r="L278"/>
      <c r="M278"/>
    </row>
    <row r="279" spans="10:14" ht="23.25" customHeight="1" x14ac:dyDescent="0.25">
      <c r="J279"/>
      <c r="K279"/>
      <c r="L279"/>
      <c r="M279"/>
    </row>
    <row r="280" spans="10:14" ht="23.25" customHeight="1" x14ac:dyDescent="0.25">
      <c r="J280"/>
      <c r="K280"/>
      <c r="L280"/>
      <c r="M280"/>
    </row>
    <row r="281" spans="10:14" ht="23.25" customHeight="1" x14ac:dyDescent="0.25">
      <c r="J281"/>
      <c r="K281"/>
      <c r="L281"/>
      <c r="M281"/>
    </row>
    <row r="282" spans="10:14" ht="23.25" customHeight="1" x14ac:dyDescent="0.25">
      <c r="J282"/>
      <c r="K282"/>
      <c r="L282"/>
      <c r="M282"/>
    </row>
    <row r="283" spans="10:14" ht="23.25" customHeight="1" x14ac:dyDescent="0.25">
      <c r="J283"/>
      <c r="K283"/>
      <c r="L283"/>
      <c r="M283"/>
    </row>
    <row r="284" spans="10:14" ht="23.25" customHeight="1" x14ac:dyDescent="0.25">
      <c r="J284"/>
      <c r="K284"/>
      <c r="L284"/>
      <c r="M284"/>
    </row>
    <row r="285" spans="10:14" ht="23.25" customHeight="1" x14ac:dyDescent="0.25">
      <c r="J285"/>
      <c r="K285"/>
      <c r="L285"/>
      <c r="M285"/>
    </row>
    <row r="286" spans="10:14" ht="23.25" customHeight="1" x14ac:dyDescent="0.25">
      <c r="J286"/>
      <c r="K286"/>
      <c r="L286"/>
      <c r="M286"/>
    </row>
    <row r="287" spans="10:14" ht="23.25" customHeight="1" x14ac:dyDescent="0.25">
      <c r="J287"/>
      <c r="K287"/>
      <c r="L287"/>
      <c r="M287"/>
    </row>
    <row r="288" spans="10:14" ht="23.25" customHeight="1" x14ac:dyDescent="0.25">
      <c r="J288"/>
      <c r="K288"/>
      <c r="L288"/>
      <c r="M288"/>
    </row>
    <row r="289" spans="2:13" ht="23.25" customHeight="1" x14ac:dyDescent="0.25">
      <c r="J289"/>
      <c r="K289"/>
      <c r="L289"/>
      <c r="M289"/>
    </row>
    <row r="290" spans="2:13" ht="23.25" customHeight="1" x14ac:dyDescent="0.25">
      <c r="J290"/>
      <c r="K290"/>
      <c r="L290"/>
      <c r="M290"/>
    </row>
    <row r="291" spans="2:13" ht="23.25" customHeight="1" x14ac:dyDescent="0.25">
      <c r="B291" s="488"/>
      <c r="C291" s="489"/>
      <c r="D291" s="489"/>
      <c r="E291" s="489"/>
      <c r="F291" s="489"/>
      <c r="G291" s="489"/>
      <c r="H291" s="489"/>
      <c r="J291"/>
      <c r="K291"/>
      <c r="L291"/>
      <c r="M291"/>
    </row>
    <row r="292" spans="2:13" ht="23.25" customHeight="1" x14ac:dyDescent="0.25">
      <c r="B292" s="488"/>
      <c r="C292" s="490"/>
      <c r="D292" s="490"/>
      <c r="E292" s="490"/>
      <c r="F292" s="490"/>
      <c r="G292" s="490"/>
      <c r="H292" s="490"/>
      <c r="I292" s="101"/>
      <c r="J292"/>
      <c r="K292"/>
      <c r="L292"/>
      <c r="M292"/>
    </row>
    <row r="293" spans="2:13" ht="23.25" customHeight="1" x14ac:dyDescent="0.25">
      <c r="B293" s="488"/>
      <c r="C293" s="490"/>
      <c r="D293" s="490"/>
      <c r="E293" s="490"/>
      <c r="F293" s="490"/>
      <c r="G293" s="490"/>
      <c r="H293" s="490"/>
      <c r="I293" s="101"/>
      <c r="J293"/>
      <c r="K293"/>
      <c r="L293"/>
      <c r="M293"/>
    </row>
    <row r="294" spans="2:13" ht="23.25" customHeight="1" x14ac:dyDescent="0.25">
      <c r="B294" s="488"/>
      <c r="C294" s="490"/>
      <c r="D294" s="490"/>
      <c r="E294" s="490"/>
      <c r="F294" s="490"/>
      <c r="G294" s="490"/>
      <c r="H294" s="490"/>
      <c r="I294" s="101"/>
      <c r="J294"/>
      <c r="K294"/>
      <c r="L294"/>
      <c r="M294"/>
    </row>
    <row r="295" spans="2:13" ht="15" x14ac:dyDescent="0.25">
      <c r="B295" s="488"/>
      <c r="C295" s="490" t="s">
        <v>484</v>
      </c>
      <c r="D295" s="490" t="s">
        <v>322</v>
      </c>
      <c r="E295" s="490"/>
      <c r="F295" s="490"/>
      <c r="G295" s="490"/>
      <c r="H295" s="490"/>
      <c r="I295"/>
      <c r="J295"/>
      <c r="K295"/>
      <c r="L295"/>
      <c r="M295"/>
    </row>
    <row r="296" spans="2:13" ht="15" x14ac:dyDescent="0.25">
      <c r="B296" s="488"/>
      <c r="C296" s="490" t="s">
        <v>318</v>
      </c>
      <c r="D296" s="490" t="s">
        <v>298</v>
      </c>
      <c r="E296" s="490" t="s">
        <v>355</v>
      </c>
      <c r="F296" s="490" t="s">
        <v>297</v>
      </c>
      <c r="G296" s="490" t="s">
        <v>347</v>
      </c>
      <c r="H296" s="490" t="s">
        <v>319</v>
      </c>
      <c r="I296"/>
      <c r="J296"/>
      <c r="K296"/>
      <c r="L296"/>
      <c r="M296"/>
    </row>
    <row r="297" spans="2:13" ht="15" x14ac:dyDescent="0.25">
      <c r="B297" s="488"/>
      <c r="C297" s="491" t="s">
        <v>1234</v>
      </c>
      <c r="D297" s="492">
        <v>9</v>
      </c>
      <c r="E297" s="492">
        <v>8</v>
      </c>
      <c r="F297" s="492">
        <v>72</v>
      </c>
      <c r="G297" s="492">
        <v>1</v>
      </c>
      <c r="H297" s="492">
        <v>90</v>
      </c>
      <c r="I297"/>
      <c r="J297"/>
      <c r="K297"/>
      <c r="L297"/>
      <c r="M297"/>
    </row>
    <row r="298" spans="2:13" ht="15" x14ac:dyDescent="0.25">
      <c r="B298" s="488"/>
      <c r="C298" s="493" t="s">
        <v>431</v>
      </c>
      <c r="D298" s="492">
        <v>3</v>
      </c>
      <c r="E298" s="492"/>
      <c r="F298" s="492">
        <v>14</v>
      </c>
      <c r="G298" s="492"/>
      <c r="H298" s="492">
        <v>17</v>
      </c>
      <c r="I298"/>
      <c r="J298"/>
      <c r="K298"/>
      <c r="L298"/>
      <c r="M298"/>
    </row>
    <row r="299" spans="2:13" ht="15" x14ac:dyDescent="0.25">
      <c r="B299" s="488"/>
      <c r="C299" s="494" t="s">
        <v>320</v>
      </c>
      <c r="D299" s="492"/>
      <c r="E299" s="492"/>
      <c r="F299" s="492">
        <v>1</v>
      </c>
      <c r="G299" s="492"/>
      <c r="H299" s="492">
        <v>1</v>
      </c>
      <c r="I299"/>
      <c r="J299"/>
      <c r="K299"/>
      <c r="L299"/>
      <c r="M299"/>
    </row>
    <row r="300" spans="2:13" ht="15" x14ac:dyDescent="0.25">
      <c r="B300" s="488"/>
      <c r="C300" s="494" t="s">
        <v>321</v>
      </c>
      <c r="D300" s="492"/>
      <c r="E300" s="492"/>
      <c r="F300" s="492">
        <v>4</v>
      </c>
      <c r="G300" s="492"/>
      <c r="H300" s="492">
        <v>4</v>
      </c>
      <c r="I300"/>
      <c r="J300"/>
      <c r="K300"/>
      <c r="L300"/>
      <c r="M300"/>
    </row>
    <row r="301" spans="2:13" ht="15" x14ac:dyDescent="0.25">
      <c r="B301" s="488"/>
      <c r="C301" s="494" t="s">
        <v>459</v>
      </c>
      <c r="D301" s="492">
        <v>3</v>
      </c>
      <c r="E301" s="492"/>
      <c r="F301" s="492">
        <v>9</v>
      </c>
      <c r="G301" s="492"/>
      <c r="H301" s="492">
        <v>12</v>
      </c>
      <c r="I301"/>
      <c r="J301"/>
      <c r="K301"/>
      <c r="L301"/>
      <c r="M301"/>
    </row>
    <row r="302" spans="2:13" ht="15" x14ac:dyDescent="0.25">
      <c r="B302" s="488"/>
      <c r="C302" s="493" t="s">
        <v>1175</v>
      </c>
      <c r="D302" s="492">
        <v>5</v>
      </c>
      <c r="E302" s="492">
        <v>4</v>
      </c>
      <c r="F302" s="492">
        <v>43</v>
      </c>
      <c r="G302" s="492">
        <v>1</v>
      </c>
      <c r="H302" s="492">
        <v>53</v>
      </c>
      <c r="I302"/>
      <c r="J302"/>
      <c r="K302"/>
      <c r="L302"/>
      <c r="M302"/>
    </row>
    <row r="303" spans="2:13" ht="15" x14ac:dyDescent="0.25">
      <c r="B303" s="488"/>
      <c r="C303" s="494" t="s">
        <v>1176</v>
      </c>
      <c r="D303" s="492">
        <v>2</v>
      </c>
      <c r="E303" s="492"/>
      <c r="F303" s="492">
        <v>13</v>
      </c>
      <c r="G303" s="492"/>
      <c r="H303" s="492">
        <v>15</v>
      </c>
      <c r="I303"/>
      <c r="J303"/>
      <c r="K303"/>
      <c r="L303"/>
      <c r="M303"/>
    </row>
    <row r="304" spans="2:13" ht="15" x14ac:dyDescent="0.25">
      <c r="B304" s="488"/>
      <c r="C304" s="494" t="s">
        <v>1235</v>
      </c>
      <c r="D304" s="492">
        <v>1</v>
      </c>
      <c r="E304" s="492">
        <v>3</v>
      </c>
      <c r="F304" s="492">
        <v>16</v>
      </c>
      <c r="G304" s="492">
        <v>1</v>
      </c>
      <c r="H304" s="492">
        <v>21</v>
      </c>
      <c r="I304"/>
      <c r="J304"/>
      <c r="K304"/>
      <c r="L304"/>
      <c r="M304"/>
    </row>
    <row r="305" spans="2:13" ht="15" x14ac:dyDescent="0.25">
      <c r="B305" s="488"/>
      <c r="C305" s="494" t="s">
        <v>1236</v>
      </c>
      <c r="D305" s="492">
        <v>2</v>
      </c>
      <c r="E305" s="492">
        <v>1</v>
      </c>
      <c r="F305" s="492">
        <v>14</v>
      </c>
      <c r="G305" s="492"/>
      <c r="H305" s="492">
        <v>17</v>
      </c>
      <c r="I305"/>
      <c r="J305"/>
      <c r="K305"/>
      <c r="L305"/>
      <c r="M305"/>
    </row>
    <row r="306" spans="2:13" ht="15" x14ac:dyDescent="0.25">
      <c r="B306" s="488"/>
      <c r="C306" s="493" t="s">
        <v>1237</v>
      </c>
      <c r="D306" s="492"/>
      <c r="E306" s="492">
        <v>3</v>
      </c>
      <c r="F306" s="492">
        <v>11</v>
      </c>
      <c r="G306" s="492"/>
      <c r="H306" s="492">
        <v>14</v>
      </c>
      <c r="I306"/>
      <c r="J306"/>
      <c r="K306"/>
      <c r="L306"/>
      <c r="M306"/>
    </row>
    <row r="307" spans="2:13" ht="15" x14ac:dyDescent="0.25">
      <c r="B307" s="488"/>
      <c r="C307" s="494" t="s">
        <v>1238</v>
      </c>
      <c r="D307" s="492"/>
      <c r="E307" s="492">
        <v>2</v>
      </c>
      <c r="F307" s="492">
        <v>1</v>
      </c>
      <c r="G307" s="492"/>
      <c r="H307" s="492">
        <v>3</v>
      </c>
      <c r="I307"/>
      <c r="J307"/>
      <c r="K307"/>
      <c r="L307"/>
      <c r="M307"/>
    </row>
    <row r="308" spans="2:13" ht="15" x14ac:dyDescent="0.25">
      <c r="B308" s="488"/>
      <c r="C308" s="494" t="s">
        <v>1239</v>
      </c>
      <c r="D308" s="492"/>
      <c r="E308" s="492">
        <v>1</v>
      </c>
      <c r="F308" s="492">
        <v>1</v>
      </c>
      <c r="G308" s="492"/>
      <c r="H308" s="492">
        <v>2</v>
      </c>
      <c r="I308"/>
      <c r="J308"/>
      <c r="K308"/>
      <c r="L308"/>
      <c r="M308"/>
    </row>
    <row r="309" spans="2:13" ht="15" x14ac:dyDescent="0.25">
      <c r="B309" s="488"/>
      <c r="C309" s="494" t="s">
        <v>1240</v>
      </c>
      <c r="D309" s="492"/>
      <c r="E309" s="492"/>
      <c r="F309" s="492">
        <v>9</v>
      </c>
      <c r="G309" s="492"/>
      <c r="H309" s="492">
        <v>9</v>
      </c>
      <c r="I309"/>
      <c r="J309"/>
      <c r="K309"/>
      <c r="L309"/>
      <c r="M309"/>
    </row>
    <row r="310" spans="2:13" ht="15" x14ac:dyDescent="0.25">
      <c r="B310" s="488"/>
      <c r="C310" s="493" t="s">
        <v>1241</v>
      </c>
      <c r="D310" s="492">
        <v>1</v>
      </c>
      <c r="E310" s="492">
        <v>1</v>
      </c>
      <c r="F310" s="492">
        <v>4</v>
      </c>
      <c r="G310" s="492"/>
      <c r="H310" s="492">
        <v>6</v>
      </c>
      <c r="I310"/>
      <c r="J310"/>
      <c r="K310"/>
      <c r="L310"/>
      <c r="M310"/>
    </row>
    <row r="311" spans="2:13" ht="15" x14ac:dyDescent="0.25">
      <c r="B311" s="488"/>
      <c r="C311" s="494" t="s">
        <v>1242</v>
      </c>
      <c r="D311" s="492"/>
      <c r="E311" s="492"/>
      <c r="F311" s="492">
        <v>1</v>
      </c>
      <c r="G311" s="492"/>
      <c r="H311" s="492">
        <v>1</v>
      </c>
      <c r="I311"/>
      <c r="J311"/>
      <c r="K311"/>
      <c r="L311"/>
      <c r="M311"/>
    </row>
    <row r="312" spans="2:13" ht="15" x14ac:dyDescent="0.25">
      <c r="B312" s="488"/>
      <c r="C312" s="494" t="s">
        <v>1243</v>
      </c>
      <c r="D312" s="492">
        <v>1</v>
      </c>
      <c r="E312" s="492">
        <v>1</v>
      </c>
      <c r="F312" s="492">
        <v>2</v>
      </c>
      <c r="G312" s="492"/>
      <c r="H312" s="492">
        <v>4</v>
      </c>
      <c r="I312"/>
      <c r="J312"/>
      <c r="K312"/>
      <c r="L312"/>
      <c r="M312"/>
    </row>
    <row r="313" spans="2:13" ht="15" x14ac:dyDescent="0.25">
      <c r="B313" s="488"/>
      <c r="C313" s="494" t="s">
        <v>1244</v>
      </c>
      <c r="D313" s="492"/>
      <c r="E313" s="492"/>
      <c r="F313" s="492">
        <v>1</v>
      </c>
      <c r="G313" s="492"/>
      <c r="H313" s="492">
        <v>1</v>
      </c>
      <c r="I313"/>
      <c r="J313"/>
      <c r="K313"/>
      <c r="L313"/>
      <c r="M313"/>
    </row>
    <row r="314" spans="2:13" ht="15" x14ac:dyDescent="0.25">
      <c r="B314" s="488"/>
      <c r="C314" s="491" t="s">
        <v>432</v>
      </c>
      <c r="D314" s="492">
        <v>9</v>
      </c>
      <c r="E314" s="492">
        <v>3</v>
      </c>
      <c r="F314" s="492">
        <v>68</v>
      </c>
      <c r="G314" s="492"/>
      <c r="H314" s="492">
        <v>80</v>
      </c>
      <c r="I314"/>
      <c r="J314"/>
      <c r="K314"/>
      <c r="L314"/>
      <c r="M314"/>
    </row>
    <row r="315" spans="2:13" ht="15" x14ac:dyDescent="0.25">
      <c r="B315" s="488"/>
      <c r="C315" s="493" t="s">
        <v>431</v>
      </c>
      <c r="D315" s="492">
        <v>4</v>
      </c>
      <c r="E315" s="492">
        <v>2</v>
      </c>
      <c r="F315" s="492">
        <v>16</v>
      </c>
      <c r="G315" s="492"/>
      <c r="H315" s="492">
        <v>22</v>
      </c>
      <c r="I315"/>
      <c r="J315"/>
      <c r="K315"/>
      <c r="L315"/>
      <c r="M315"/>
    </row>
    <row r="316" spans="2:13" ht="15" x14ac:dyDescent="0.25">
      <c r="B316" s="488"/>
      <c r="C316" s="494" t="s">
        <v>320</v>
      </c>
      <c r="D316" s="492">
        <v>3</v>
      </c>
      <c r="E316" s="492"/>
      <c r="F316" s="492">
        <v>5</v>
      </c>
      <c r="G316" s="492"/>
      <c r="H316" s="492">
        <v>8</v>
      </c>
      <c r="I316"/>
      <c r="J316"/>
      <c r="K316"/>
      <c r="L316"/>
      <c r="M316"/>
    </row>
    <row r="317" spans="2:13" ht="15" x14ac:dyDescent="0.25">
      <c r="B317" s="488"/>
      <c r="C317" s="494" t="s">
        <v>321</v>
      </c>
      <c r="D317" s="492"/>
      <c r="E317" s="492">
        <v>2</v>
      </c>
      <c r="F317" s="492">
        <v>4</v>
      </c>
      <c r="G317" s="492"/>
      <c r="H317" s="492">
        <v>6</v>
      </c>
      <c r="I317"/>
      <c r="J317"/>
      <c r="K317"/>
      <c r="L317"/>
      <c r="M317"/>
    </row>
    <row r="318" spans="2:13" ht="15" x14ac:dyDescent="0.25">
      <c r="B318" s="488"/>
      <c r="C318" s="494" t="s">
        <v>459</v>
      </c>
      <c r="D318" s="492">
        <v>1</v>
      </c>
      <c r="E318" s="492"/>
      <c r="F318" s="492">
        <v>7</v>
      </c>
      <c r="G318" s="492"/>
      <c r="H318" s="492">
        <v>8</v>
      </c>
      <c r="I318"/>
      <c r="J318"/>
      <c r="K318"/>
      <c r="L318"/>
      <c r="M318"/>
    </row>
    <row r="319" spans="2:13" ht="15" x14ac:dyDescent="0.25">
      <c r="B319" s="488"/>
      <c r="C319" s="493" t="s">
        <v>1175</v>
      </c>
      <c r="D319" s="492">
        <v>2</v>
      </c>
      <c r="E319" s="492"/>
      <c r="F319" s="492">
        <v>9</v>
      </c>
      <c r="G319" s="492"/>
      <c r="H319" s="492">
        <v>11</v>
      </c>
      <c r="I319"/>
      <c r="J319"/>
      <c r="K319"/>
      <c r="L319"/>
      <c r="M319"/>
    </row>
    <row r="320" spans="2:13" ht="15" x14ac:dyDescent="0.25">
      <c r="B320" s="488"/>
      <c r="C320" s="494" t="s">
        <v>1176</v>
      </c>
      <c r="D320" s="492">
        <v>1</v>
      </c>
      <c r="E320" s="492"/>
      <c r="F320" s="492">
        <v>4</v>
      </c>
      <c r="G320" s="492"/>
      <c r="H320" s="492">
        <v>5</v>
      </c>
      <c r="I320"/>
      <c r="J320"/>
      <c r="K320"/>
      <c r="L320"/>
      <c r="M320"/>
    </row>
    <row r="321" spans="2:18" ht="15" x14ac:dyDescent="0.25">
      <c r="B321" s="488"/>
      <c r="C321" s="494" t="s">
        <v>1235</v>
      </c>
      <c r="D321" s="492">
        <v>1</v>
      </c>
      <c r="E321" s="492"/>
      <c r="F321" s="492">
        <v>2</v>
      </c>
      <c r="G321" s="492"/>
      <c r="H321" s="492">
        <v>3</v>
      </c>
      <c r="I321"/>
      <c r="J321"/>
      <c r="K321"/>
      <c r="L321"/>
      <c r="M321"/>
    </row>
    <row r="322" spans="2:18" ht="15" x14ac:dyDescent="0.25">
      <c r="B322" s="488"/>
      <c r="C322" s="494" t="s">
        <v>1236</v>
      </c>
      <c r="D322" s="492"/>
      <c r="E322" s="492"/>
      <c r="F322" s="492">
        <v>3</v>
      </c>
      <c r="G322" s="492"/>
      <c r="H322" s="492">
        <v>3</v>
      </c>
      <c r="I322"/>
      <c r="J322"/>
      <c r="K322"/>
      <c r="L322"/>
      <c r="M322"/>
    </row>
    <row r="323" spans="2:18" ht="15" x14ac:dyDescent="0.25">
      <c r="B323" s="488"/>
      <c r="C323" s="493" t="s">
        <v>1237</v>
      </c>
      <c r="D323" s="492">
        <v>2</v>
      </c>
      <c r="E323" s="492"/>
      <c r="F323" s="492">
        <v>20</v>
      </c>
      <c r="G323" s="492"/>
      <c r="H323" s="492">
        <v>22</v>
      </c>
      <c r="I323"/>
      <c r="J323"/>
      <c r="K323"/>
      <c r="L323"/>
      <c r="M323"/>
    </row>
    <row r="324" spans="2:18" ht="15" x14ac:dyDescent="0.25">
      <c r="B324" s="488"/>
      <c r="C324" s="494" t="s">
        <v>1238</v>
      </c>
      <c r="D324" s="492">
        <v>1</v>
      </c>
      <c r="E324" s="492"/>
      <c r="F324" s="492">
        <v>5</v>
      </c>
      <c r="G324" s="492"/>
      <c r="H324" s="492">
        <v>6</v>
      </c>
      <c r="I324"/>
      <c r="J324"/>
      <c r="K324"/>
      <c r="L324"/>
      <c r="M324"/>
    </row>
    <row r="325" spans="2:18" ht="15" x14ac:dyDescent="0.25">
      <c r="B325" s="488"/>
      <c r="C325" s="494" t="s">
        <v>1239</v>
      </c>
      <c r="D325" s="492">
        <v>1</v>
      </c>
      <c r="E325" s="492"/>
      <c r="F325" s="492">
        <v>6</v>
      </c>
      <c r="G325" s="492"/>
      <c r="H325" s="492">
        <v>7</v>
      </c>
      <c r="I325"/>
      <c r="J325"/>
      <c r="K325"/>
      <c r="L325"/>
      <c r="M325"/>
    </row>
    <row r="326" spans="2:18" ht="15" x14ac:dyDescent="0.25">
      <c r="B326" s="488"/>
      <c r="C326" s="494" t="s">
        <v>1240</v>
      </c>
      <c r="D326" s="492"/>
      <c r="E326" s="492"/>
      <c r="F326" s="492">
        <v>9</v>
      </c>
      <c r="G326" s="492"/>
      <c r="H326" s="492">
        <v>9</v>
      </c>
      <c r="I326"/>
      <c r="J326"/>
      <c r="K326"/>
      <c r="L326"/>
      <c r="M326"/>
    </row>
    <row r="327" spans="2:18" ht="15" x14ac:dyDescent="0.25">
      <c r="B327" s="488"/>
      <c r="C327" s="493" t="s">
        <v>1241</v>
      </c>
      <c r="D327" s="492">
        <v>1</v>
      </c>
      <c r="E327" s="492">
        <v>1</v>
      </c>
      <c r="F327" s="492">
        <v>23</v>
      </c>
      <c r="G327" s="492"/>
      <c r="H327" s="492">
        <v>25</v>
      </c>
      <c r="I327"/>
      <c r="J327"/>
      <c r="K327"/>
      <c r="L327"/>
      <c r="M327"/>
    </row>
    <row r="328" spans="2:18" ht="15" x14ac:dyDescent="0.25">
      <c r="B328" s="488"/>
      <c r="C328" s="494" t="s">
        <v>1242</v>
      </c>
      <c r="D328" s="492">
        <v>1</v>
      </c>
      <c r="E328" s="492"/>
      <c r="F328" s="492">
        <v>8</v>
      </c>
      <c r="G328" s="492"/>
      <c r="H328" s="492">
        <v>9</v>
      </c>
      <c r="I328"/>
      <c r="J328"/>
      <c r="K328"/>
      <c r="L328"/>
      <c r="M328"/>
    </row>
    <row r="329" spans="2:18" ht="15" x14ac:dyDescent="0.25">
      <c r="C329" s="494" t="s">
        <v>1243</v>
      </c>
      <c r="D329" s="492"/>
      <c r="E329" s="492">
        <v>1</v>
      </c>
      <c r="F329" s="492">
        <v>11</v>
      </c>
      <c r="G329" s="492"/>
      <c r="H329" s="492">
        <v>12</v>
      </c>
      <c r="I329"/>
      <c r="J329"/>
      <c r="K329"/>
      <c r="L329"/>
      <c r="M329"/>
    </row>
    <row r="330" spans="2:18" ht="15" x14ac:dyDescent="0.25">
      <c r="C330" s="494" t="s">
        <v>1244</v>
      </c>
      <c r="D330" s="492"/>
      <c r="E330" s="492"/>
      <c r="F330" s="492">
        <v>4</v>
      </c>
      <c r="G330" s="492"/>
      <c r="H330" s="492">
        <v>4</v>
      </c>
      <c r="I330"/>
      <c r="J330"/>
      <c r="K330"/>
      <c r="L330"/>
      <c r="M330"/>
    </row>
    <row r="331" spans="2:18" ht="15" x14ac:dyDescent="0.25">
      <c r="C331" s="491" t="s">
        <v>1920</v>
      </c>
      <c r="D331" s="492">
        <v>1</v>
      </c>
      <c r="E331" s="492">
        <v>2</v>
      </c>
      <c r="F331" s="492">
        <v>11</v>
      </c>
      <c r="G331" s="492"/>
      <c r="H331" s="492">
        <v>14</v>
      </c>
      <c r="I331"/>
      <c r="J331"/>
      <c r="K331"/>
      <c r="L331"/>
      <c r="M331"/>
    </row>
    <row r="332" spans="2:18" ht="15" x14ac:dyDescent="0.25">
      <c r="C332" s="493" t="s">
        <v>431</v>
      </c>
      <c r="D332" s="492">
        <v>1</v>
      </c>
      <c r="E332" s="492">
        <v>2</v>
      </c>
      <c r="F332" s="492">
        <v>11</v>
      </c>
      <c r="G332" s="492"/>
      <c r="H332" s="492">
        <v>14</v>
      </c>
      <c r="I332"/>
      <c r="J332"/>
      <c r="K332"/>
      <c r="L332"/>
      <c r="M332"/>
    </row>
    <row r="333" spans="2:18" ht="15" x14ac:dyDescent="0.25">
      <c r="C333" s="494" t="s">
        <v>320</v>
      </c>
      <c r="D333" s="492"/>
      <c r="E333" s="492">
        <v>2</v>
      </c>
      <c r="F333" s="492">
        <v>3</v>
      </c>
      <c r="G333" s="492"/>
      <c r="H333" s="492">
        <v>5</v>
      </c>
      <c r="I333"/>
      <c r="J333"/>
      <c r="K333"/>
      <c r="L333"/>
      <c r="M333"/>
    </row>
    <row r="334" spans="2:18" ht="15" x14ac:dyDescent="0.25">
      <c r="C334" s="494" t="s">
        <v>321</v>
      </c>
      <c r="D334" s="492"/>
      <c r="E334" s="492"/>
      <c r="F334" s="492">
        <v>4</v>
      </c>
      <c r="G334" s="492"/>
      <c r="H334" s="492">
        <v>4</v>
      </c>
      <c r="I334"/>
      <c r="J334"/>
      <c r="K334"/>
      <c r="L334" s="495" t="s">
        <v>318</v>
      </c>
      <c r="M334" s="495" t="s">
        <v>1286</v>
      </c>
      <c r="N334" s="489"/>
      <c r="O334" s="489"/>
      <c r="P334" s="489"/>
      <c r="Q334" s="489"/>
      <c r="R334"/>
    </row>
    <row r="335" spans="2:18" ht="15" x14ac:dyDescent="0.25">
      <c r="C335" s="494" t="s">
        <v>459</v>
      </c>
      <c r="D335" s="492">
        <v>1</v>
      </c>
      <c r="E335" s="492"/>
      <c r="F335" s="492">
        <v>4</v>
      </c>
      <c r="G335" s="492"/>
      <c r="H335" s="492">
        <v>5</v>
      </c>
      <c r="I335"/>
      <c r="J335"/>
      <c r="K335"/>
      <c r="L335" s="496" t="s">
        <v>854</v>
      </c>
      <c r="M335" s="497">
        <v>10</v>
      </c>
      <c r="N335" s="489"/>
      <c r="O335" s="489"/>
      <c r="P335" s="489"/>
      <c r="Q335" s="489"/>
      <c r="R335"/>
    </row>
    <row r="336" spans="2:18" ht="15" x14ac:dyDescent="0.25">
      <c r="C336" s="491" t="s">
        <v>319</v>
      </c>
      <c r="D336" s="492">
        <v>19</v>
      </c>
      <c r="E336" s="492">
        <v>13</v>
      </c>
      <c r="F336" s="492">
        <v>151</v>
      </c>
      <c r="G336" s="492">
        <v>1</v>
      </c>
      <c r="H336" s="492">
        <v>184</v>
      </c>
      <c r="J336"/>
      <c r="K336"/>
      <c r="L336" s="309" t="s">
        <v>621</v>
      </c>
      <c r="M336" s="310">
        <v>3</v>
      </c>
      <c r="N336"/>
      <c r="O336"/>
      <c r="P336"/>
      <c r="Q336"/>
      <c r="R336"/>
    </row>
    <row r="337" spans="10:18" ht="15" x14ac:dyDescent="0.25">
      <c r="J337"/>
      <c r="K337"/>
      <c r="L337" s="309" t="s">
        <v>677</v>
      </c>
      <c r="M337" s="310">
        <v>6</v>
      </c>
      <c r="N337"/>
      <c r="O337"/>
      <c r="P337"/>
      <c r="Q337"/>
      <c r="R337"/>
    </row>
    <row r="338" spans="10:18" ht="15" x14ac:dyDescent="0.25">
      <c r="J338"/>
      <c r="K338"/>
      <c r="L338" s="309" t="s">
        <v>1058</v>
      </c>
      <c r="M338" s="310">
        <v>4</v>
      </c>
      <c r="N338"/>
      <c r="O338" s="101"/>
      <c r="P338" s="101"/>
      <c r="Q338" s="101"/>
      <c r="R338" s="101"/>
    </row>
    <row r="339" spans="10:18" ht="15" x14ac:dyDescent="0.25">
      <c r="J339"/>
      <c r="K339"/>
      <c r="L339" s="322" t="s">
        <v>705</v>
      </c>
      <c r="M339" s="318">
        <v>2</v>
      </c>
      <c r="N339"/>
      <c r="O339" s="101"/>
      <c r="P339" s="101"/>
      <c r="Q339" s="101"/>
      <c r="R339" s="101"/>
    </row>
    <row r="340" spans="10:18" ht="15" x14ac:dyDescent="0.25">
      <c r="J340"/>
      <c r="K340"/>
      <c r="L340" s="323" t="s">
        <v>513</v>
      </c>
      <c r="M340" s="319">
        <v>27</v>
      </c>
      <c r="N340" s="28"/>
      <c r="O340" s="159"/>
      <c r="P340" s="159"/>
      <c r="Q340" s="159"/>
      <c r="R340" s="155"/>
    </row>
    <row r="341" spans="10:18" ht="15" x14ac:dyDescent="0.25">
      <c r="J341"/>
      <c r="K341"/>
      <c r="L341" s="323" t="s">
        <v>735</v>
      </c>
      <c r="M341" s="319">
        <v>3</v>
      </c>
      <c r="N341" s="28"/>
      <c r="O341" s="159"/>
      <c r="P341" s="159"/>
      <c r="Q341" s="159"/>
      <c r="R341" s="155"/>
    </row>
    <row r="342" spans="10:18" ht="15" x14ac:dyDescent="0.25">
      <c r="J342"/>
      <c r="K342"/>
      <c r="L342" s="323" t="s">
        <v>795</v>
      </c>
      <c r="M342" s="319">
        <v>5</v>
      </c>
      <c r="N342" s="28"/>
      <c r="O342" s="159"/>
      <c r="P342" s="159"/>
      <c r="Q342" s="159"/>
      <c r="R342" s="155"/>
    </row>
    <row r="343" spans="10:18" ht="15" x14ac:dyDescent="0.25">
      <c r="J343"/>
      <c r="K343"/>
      <c r="L343" s="323" t="s">
        <v>551</v>
      </c>
      <c r="M343" s="319">
        <v>4</v>
      </c>
      <c r="N343" s="28"/>
      <c r="O343" s="159"/>
      <c r="P343" s="159"/>
      <c r="Q343" s="159"/>
      <c r="R343" s="155"/>
    </row>
    <row r="344" spans="10:18" ht="15" x14ac:dyDescent="0.25">
      <c r="J344"/>
      <c r="K344"/>
      <c r="L344" s="323" t="s">
        <v>1010</v>
      </c>
      <c r="M344" s="319">
        <v>2</v>
      </c>
      <c r="N344" s="28"/>
      <c r="O344" s="159"/>
      <c r="P344" s="159"/>
      <c r="Q344" s="159"/>
      <c r="R344" s="155"/>
    </row>
    <row r="345" spans="10:18" ht="15" x14ac:dyDescent="0.25">
      <c r="J345"/>
      <c r="K345"/>
      <c r="L345" s="323" t="s">
        <v>612</v>
      </c>
      <c r="M345" s="319">
        <v>2</v>
      </c>
      <c r="N345" s="28"/>
      <c r="O345" s="159"/>
      <c r="P345" s="159"/>
      <c r="Q345" s="159"/>
      <c r="R345" s="155"/>
    </row>
    <row r="346" spans="10:18" ht="15" x14ac:dyDescent="0.25">
      <c r="J346"/>
      <c r="K346"/>
      <c r="L346" s="323" t="s">
        <v>557</v>
      </c>
      <c r="M346" s="319">
        <v>12</v>
      </c>
      <c r="N346" s="28"/>
      <c r="O346" s="159"/>
      <c r="P346" s="159"/>
      <c r="Q346" s="159"/>
      <c r="R346" s="155"/>
    </row>
    <row r="347" spans="10:18" ht="15" x14ac:dyDescent="0.25">
      <c r="J347"/>
      <c r="K347"/>
      <c r="L347" s="323" t="s">
        <v>490</v>
      </c>
      <c r="M347" s="319">
        <v>23</v>
      </c>
      <c r="N347" s="28"/>
      <c r="O347" s="159"/>
      <c r="P347" s="159"/>
      <c r="Q347" s="159"/>
      <c r="R347" s="155"/>
    </row>
    <row r="348" spans="10:18" ht="15" x14ac:dyDescent="0.25">
      <c r="J348"/>
      <c r="K348"/>
      <c r="L348" s="323" t="s">
        <v>668</v>
      </c>
      <c r="M348" s="319">
        <v>1</v>
      </c>
      <c r="N348" s="28"/>
      <c r="O348" s="159"/>
      <c r="P348" s="159"/>
      <c r="Q348" s="159"/>
      <c r="R348" s="155"/>
    </row>
    <row r="349" spans="10:18" ht="15" x14ac:dyDescent="0.25">
      <c r="J349"/>
      <c r="K349"/>
      <c r="L349" s="323" t="s">
        <v>1117</v>
      </c>
      <c r="M349" s="319">
        <v>1</v>
      </c>
      <c r="N349" s="28"/>
      <c r="O349" s="159"/>
      <c r="P349" s="159"/>
      <c r="Q349" s="159"/>
      <c r="R349" s="155"/>
    </row>
    <row r="350" spans="10:18" ht="15" x14ac:dyDescent="0.25">
      <c r="J350"/>
      <c r="K350"/>
      <c r="L350" s="323" t="s">
        <v>519</v>
      </c>
      <c r="M350" s="319">
        <v>14</v>
      </c>
      <c r="N350" s="28"/>
      <c r="O350" s="159"/>
      <c r="P350" s="159"/>
      <c r="Q350" s="159"/>
      <c r="R350" s="155"/>
    </row>
    <row r="351" spans="10:18" ht="15" x14ac:dyDescent="0.25">
      <c r="J351"/>
      <c r="K351"/>
      <c r="L351" s="323" t="s">
        <v>845</v>
      </c>
      <c r="M351" s="319">
        <v>9</v>
      </c>
      <c r="N351" s="28"/>
      <c r="O351" s="159"/>
      <c r="P351" s="159"/>
      <c r="Q351" s="159"/>
      <c r="R351" s="155"/>
    </row>
    <row r="352" spans="10:18" ht="15" x14ac:dyDescent="0.25">
      <c r="J352"/>
      <c r="K352"/>
      <c r="L352" s="323" t="s">
        <v>471</v>
      </c>
      <c r="M352" s="319">
        <v>42</v>
      </c>
      <c r="N352" s="159"/>
      <c r="O352" s="159"/>
      <c r="P352" s="159"/>
      <c r="Q352" s="159"/>
      <c r="R352" s="155"/>
    </row>
    <row r="353" spans="10:18" ht="15" x14ac:dyDescent="0.25">
      <c r="J353"/>
      <c r="K353"/>
      <c r="L353" s="324" t="s">
        <v>1285</v>
      </c>
      <c r="M353" s="320">
        <v>13</v>
      </c>
      <c r="N353" s="159"/>
      <c r="O353" s="159"/>
      <c r="P353" s="159"/>
      <c r="Q353" s="159"/>
      <c r="R353" s="155"/>
    </row>
    <row r="354" spans="10:18" ht="15" x14ac:dyDescent="0.25">
      <c r="J354"/>
      <c r="K354"/>
      <c r="L354" s="307" t="s">
        <v>2036</v>
      </c>
      <c r="M354" s="308">
        <v>1</v>
      </c>
      <c r="N354" s="159"/>
      <c r="O354" s="159"/>
      <c r="P354" s="159"/>
      <c r="Q354" s="159"/>
      <c r="R354" s="155"/>
    </row>
    <row r="355" spans="10:18" ht="15" x14ac:dyDescent="0.25">
      <c r="J355"/>
      <c r="K355"/>
      <c r="L355" s="325" t="s">
        <v>319</v>
      </c>
      <c r="M355" s="321">
        <v>184</v>
      </c>
      <c r="N355" s="159"/>
      <c r="O355" s="159"/>
      <c r="P355" s="159"/>
      <c r="Q355" s="159"/>
      <c r="R355" s="155"/>
    </row>
    <row r="356" spans="10:18" ht="23.25" customHeight="1" x14ac:dyDescent="0.25">
      <c r="J356"/>
      <c r="K356"/>
      <c r="L356" s="28"/>
      <c r="M356" s="159"/>
      <c r="N356" s="159"/>
      <c r="O356" s="159"/>
      <c r="P356" s="159"/>
      <c r="Q356" s="159"/>
      <c r="R356" s="155"/>
    </row>
    <row r="357" spans="10:18" ht="23.25" customHeight="1" x14ac:dyDescent="0.25">
      <c r="J357"/>
      <c r="K357"/>
      <c r="L357" s="28"/>
      <c r="M357" s="159"/>
      <c r="N357" s="159"/>
      <c r="O357" s="159"/>
      <c r="P357" s="159"/>
      <c r="Q357" s="159"/>
      <c r="R357" s="155"/>
    </row>
    <row r="358" spans="10:18" ht="23.25" customHeight="1" x14ac:dyDescent="0.25">
      <c r="J358"/>
      <c r="K358"/>
      <c r="L358" s="28"/>
      <c r="M358" s="159"/>
      <c r="N358" s="159"/>
      <c r="O358" s="159"/>
      <c r="P358" s="159"/>
      <c r="Q358" s="159"/>
      <c r="R358" s="155"/>
    </row>
    <row r="359" spans="10:18" ht="23.25" customHeight="1" x14ac:dyDescent="0.25">
      <c r="J359"/>
      <c r="K359"/>
      <c r="L359" s="28"/>
      <c r="M359" s="159"/>
      <c r="N359" s="159"/>
      <c r="O359" s="159"/>
      <c r="P359" s="159"/>
      <c r="Q359" s="159"/>
      <c r="R359" s="155"/>
    </row>
    <row r="360" spans="10:18" ht="23.25" customHeight="1" x14ac:dyDescent="0.25">
      <c r="J360"/>
      <c r="K360"/>
      <c r="L360" s="28"/>
      <c r="M360" s="159"/>
      <c r="N360" s="159"/>
      <c r="O360" s="159"/>
      <c r="P360" s="159"/>
      <c r="Q360" s="159"/>
      <c r="R360" s="155"/>
    </row>
    <row r="361" spans="10:18" ht="23.25" customHeight="1" x14ac:dyDescent="0.25">
      <c r="J361"/>
      <c r="K361"/>
      <c r="L361" s="28"/>
      <c r="M361" s="159"/>
      <c r="N361" s="159"/>
      <c r="O361" s="159"/>
      <c r="P361" s="159"/>
      <c r="Q361" s="159"/>
      <c r="R361" s="155"/>
    </row>
    <row r="362" spans="10:18" ht="23.25" customHeight="1" x14ac:dyDescent="0.25">
      <c r="J362"/>
      <c r="K362"/>
      <c r="L362" s="28"/>
      <c r="M362" s="159"/>
      <c r="N362" s="159"/>
      <c r="O362" s="159"/>
      <c r="P362" s="159"/>
      <c r="Q362" s="159"/>
      <c r="R362" s="155"/>
    </row>
    <row r="363" spans="10:18" ht="23.25" customHeight="1" x14ac:dyDescent="0.25">
      <c r="J363"/>
      <c r="K363"/>
      <c r="L363" s="28"/>
      <c r="M363" s="159"/>
      <c r="N363" s="159"/>
      <c r="O363" s="159"/>
      <c r="P363" s="159"/>
      <c r="Q363" s="159"/>
      <c r="R363" s="155"/>
    </row>
    <row r="364" spans="10:18" ht="23.25" customHeight="1" x14ac:dyDescent="0.25">
      <c r="J364"/>
      <c r="K364"/>
      <c r="L364" s="28"/>
      <c r="M364" s="159"/>
      <c r="N364" s="159"/>
      <c r="O364" s="159"/>
      <c r="P364" s="159"/>
      <c r="Q364" s="159"/>
      <c r="R364" s="155"/>
    </row>
    <row r="365" spans="10:18" ht="23.25" customHeight="1" x14ac:dyDescent="0.25">
      <c r="J365"/>
      <c r="K365"/>
      <c r="L365" s="28"/>
      <c r="M365" s="159"/>
      <c r="N365" s="159"/>
      <c r="O365" s="159"/>
      <c r="P365" s="159"/>
      <c r="Q365" s="159"/>
      <c r="R365" s="155"/>
    </row>
    <row r="366" spans="10:18" ht="23.25" customHeight="1" x14ac:dyDescent="0.25">
      <c r="J366"/>
      <c r="K366"/>
      <c r="L366"/>
      <c r="M366" s="157"/>
      <c r="N366" s="157"/>
      <c r="O366" s="157"/>
      <c r="P366" s="157"/>
      <c r="Q366" s="157"/>
      <c r="R366" s="158"/>
    </row>
    <row r="367" spans="10:18" ht="23.25" customHeight="1" x14ac:dyDescent="0.25">
      <c r="J367"/>
      <c r="K367"/>
      <c r="L367"/>
      <c r="M367" s="159"/>
      <c r="N367" s="159"/>
      <c r="O367" s="159"/>
      <c r="P367" s="159"/>
      <c r="Q367" s="159"/>
      <c r="R367" s="155"/>
    </row>
    <row r="368" spans="10:18" ht="23.25" customHeight="1" x14ac:dyDescent="0.25">
      <c r="J368"/>
      <c r="K368"/>
      <c r="L368"/>
      <c r="M368" s="159"/>
      <c r="N368" s="159"/>
      <c r="O368" s="159"/>
      <c r="P368" s="159"/>
      <c r="Q368" s="159"/>
      <c r="R368" s="155"/>
    </row>
    <row r="369" spans="10:18" ht="23.25" customHeight="1" x14ac:dyDescent="0.25">
      <c r="J369"/>
      <c r="K369"/>
      <c r="L369"/>
      <c r="M369" s="159"/>
      <c r="N369" s="159"/>
      <c r="O369" s="159"/>
      <c r="P369" s="159"/>
      <c r="Q369" s="159"/>
      <c r="R369" s="155"/>
    </row>
    <row r="370" spans="10:18" ht="23.25" customHeight="1" x14ac:dyDescent="0.25">
      <c r="J370"/>
      <c r="K370"/>
      <c r="L370"/>
      <c r="M370" s="159"/>
      <c r="N370" s="159"/>
      <c r="O370" s="159"/>
      <c r="P370" s="159"/>
      <c r="Q370" s="159"/>
      <c r="R370" s="155"/>
    </row>
    <row r="371" spans="10:18" ht="23.25" customHeight="1" x14ac:dyDescent="0.25">
      <c r="J371"/>
      <c r="K371"/>
      <c r="L371"/>
      <c r="M371" s="159"/>
      <c r="N371" s="159"/>
      <c r="O371" s="159"/>
      <c r="P371" s="159"/>
      <c r="Q371" s="159"/>
      <c r="R371" s="155"/>
    </row>
    <row r="372" spans="10:18" ht="23.25" customHeight="1" x14ac:dyDescent="0.25">
      <c r="J372"/>
      <c r="K372"/>
      <c r="L372"/>
      <c r="M372" s="159"/>
      <c r="N372" s="159"/>
      <c r="O372" s="159"/>
      <c r="P372" s="159"/>
      <c r="Q372" s="159"/>
      <c r="R372" s="155"/>
    </row>
    <row r="373" spans="10:18" ht="23.25" customHeight="1" x14ac:dyDescent="0.25">
      <c r="J373"/>
      <c r="K373"/>
      <c r="L373"/>
      <c r="M373" s="159"/>
      <c r="N373" s="159"/>
      <c r="O373" s="159"/>
      <c r="P373" s="159"/>
      <c r="Q373" s="159"/>
      <c r="R373" s="155"/>
    </row>
    <row r="374" spans="10:18" ht="23.25" customHeight="1" x14ac:dyDescent="0.25">
      <c r="J374"/>
      <c r="K374"/>
      <c r="L374"/>
      <c r="M374" s="159"/>
      <c r="N374" s="159"/>
      <c r="O374" s="159"/>
      <c r="P374" s="159"/>
      <c r="Q374" s="159"/>
      <c r="R374" s="155"/>
    </row>
    <row r="375" spans="10:18" ht="23.25" customHeight="1" x14ac:dyDescent="0.25">
      <c r="J375"/>
      <c r="K375"/>
      <c r="L375"/>
      <c r="M375" s="159"/>
      <c r="N375" s="159"/>
      <c r="O375" s="159"/>
      <c r="P375" s="159"/>
      <c r="Q375" s="159"/>
      <c r="R375" s="155"/>
    </row>
    <row r="376" spans="10:18" ht="23.25" customHeight="1" x14ac:dyDescent="0.25">
      <c r="J376"/>
      <c r="K376"/>
      <c r="L376"/>
      <c r="M376" s="159"/>
      <c r="N376" s="159"/>
      <c r="O376" s="159"/>
      <c r="P376" s="159"/>
      <c r="Q376" s="159"/>
      <c r="R376" s="155"/>
    </row>
    <row r="377" spans="10:18" ht="23.25" customHeight="1" x14ac:dyDescent="0.25">
      <c r="J377"/>
      <c r="K377"/>
      <c r="L377"/>
      <c r="M377" s="159"/>
      <c r="N377" s="159"/>
      <c r="O377" s="159"/>
      <c r="P377" s="159"/>
      <c r="Q377" s="159"/>
      <c r="R377" s="155"/>
    </row>
    <row r="378" spans="10:18" ht="23.25" customHeight="1" x14ac:dyDescent="0.25">
      <c r="J378"/>
      <c r="K378"/>
      <c r="L378"/>
      <c r="M378" s="159"/>
      <c r="N378" s="159"/>
      <c r="O378" s="159"/>
      <c r="P378" s="159"/>
      <c r="Q378" s="159"/>
      <c r="R378" s="155"/>
    </row>
    <row r="379" spans="10:18" ht="23.25" customHeight="1" x14ac:dyDescent="0.25">
      <c r="J379"/>
      <c r="K379"/>
      <c r="L379"/>
      <c r="M379" s="159"/>
      <c r="N379" s="159"/>
      <c r="O379" s="159"/>
      <c r="P379" s="159"/>
      <c r="Q379" s="159"/>
      <c r="R379" s="155"/>
    </row>
    <row r="380" spans="10:18" ht="23.25" customHeight="1" x14ac:dyDescent="0.25">
      <c r="J380"/>
      <c r="K380"/>
      <c r="L380"/>
      <c r="M380" s="159"/>
      <c r="N380" s="159"/>
      <c r="O380" s="159"/>
      <c r="P380" s="159"/>
      <c r="Q380" s="159"/>
      <c r="R380" s="155"/>
    </row>
    <row r="381" spans="10:18" ht="23.25" customHeight="1" x14ac:dyDescent="0.25">
      <c r="J381"/>
      <c r="K381"/>
    </row>
    <row r="382" spans="10:18" ht="23.25" customHeight="1" x14ac:dyDescent="0.25">
      <c r="J382"/>
      <c r="K382"/>
    </row>
    <row r="383" spans="10:18" ht="23.25" customHeight="1" x14ac:dyDescent="0.25">
      <c r="J383"/>
      <c r="K383"/>
    </row>
    <row r="384" spans="10:18" ht="23.25" customHeight="1" x14ac:dyDescent="0.25">
      <c r="J384"/>
      <c r="K384"/>
    </row>
    <row r="385" spans="10:11" ht="23.25" customHeight="1" x14ac:dyDescent="0.25">
      <c r="J385"/>
      <c r="K385"/>
    </row>
    <row r="386" spans="10:11" ht="23.25" customHeight="1" x14ac:dyDescent="0.25">
      <c r="J386"/>
      <c r="K386"/>
    </row>
    <row r="387" spans="10:11" ht="23.25" customHeight="1" x14ac:dyDescent="0.25">
      <c r="J387"/>
      <c r="K387"/>
    </row>
    <row r="388" spans="10:11" ht="23.25" customHeight="1" x14ac:dyDescent="0.25">
      <c r="J388"/>
      <c r="K388"/>
    </row>
    <row r="389" spans="10:11" ht="23.25" customHeight="1" x14ac:dyDescent="0.25">
      <c r="J389"/>
      <c r="K389"/>
    </row>
    <row r="390" spans="10:11" ht="23.25" customHeight="1" x14ac:dyDescent="0.25">
      <c r="J390"/>
      <c r="K390"/>
    </row>
    <row r="391" spans="10:11" ht="23.25" customHeight="1" x14ac:dyDescent="0.25">
      <c r="J391"/>
      <c r="K391"/>
    </row>
    <row r="392" spans="10:11" ht="23.25" customHeight="1" x14ac:dyDescent="0.25">
      <c r="J392"/>
      <c r="K392"/>
    </row>
    <row r="393" spans="10:11" ht="23.25" customHeight="1" x14ac:dyDescent="0.25">
      <c r="J393"/>
      <c r="K393"/>
    </row>
    <row r="394" spans="10:11" ht="23.25" customHeight="1" x14ac:dyDescent="0.25">
      <c r="J394"/>
      <c r="K394"/>
    </row>
    <row r="395" spans="10:11" ht="23.25" customHeight="1" x14ac:dyDescent="0.25">
      <c r="J395"/>
      <c r="K395"/>
    </row>
    <row r="396" spans="10:11" ht="23.25" customHeight="1" x14ac:dyDescent="0.25">
      <c r="J396"/>
      <c r="K396"/>
    </row>
    <row r="397" spans="10:11" ht="23.25" customHeight="1" x14ac:dyDescent="0.25">
      <c r="J397"/>
      <c r="K397"/>
    </row>
    <row r="398" spans="10:11" ht="23.25" customHeight="1" x14ac:dyDescent="0.25">
      <c r="J398"/>
      <c r="K398"/>
    </row>
    <row r="399" spans="10:11" ht="23.25" customHeight="1" x14ac:dyDescent="0.25">
      <c r="J399"/>
      <c r="K399"/>
    </row>
    <row r="400" spans="10:11" ht="23.25" customHeight="1" x14ac:dyDescent="0.25">
      <c r="J400"/>
      <c r="K400"/>
    </row>
  </sheetData>
  <sheetProtection selectLockedCells="1"/>
  <mergeCells count="8">
    <mergeCell ref="B39:E39"/>
    <mergeCell ref="F39:I39"/>
    <mergeCell ref="J39:M39"/>
    <mergeCell ref="D6:D7"/>
    <mergeCell ref="B23:C23"/>
    <mergeCell ref="D23:E23"/>
    <mergeCell ref="B22:E22"/>
    <mergeCell ref="B27:K27"/>
  </mergeCells>
  <pageMargins left="0.511811024" right="0.511811024" top="0.78740157499999996" bottom="0.78740157499999996" header="0.31496062000000002" footer="0.31496062000000002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AbrirFormularioPedidos">
                <anchor moveWithCells="1" sizeWithCells="1">
                  <from>
                    <xdr:col>1</xdr:col>
                    <xdr:colOff>1114425</xdr:colOff>
                    <xdr:row>23</xdr:row>
                    <xdr:rowOff>85725</xdr:rowOff>
                  </from>
                  <to>
                    <xdr:col>2</xdr:col>
                    <xdr:colOff>866775</xdr:colOff>
                    <xdr:row>23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AbrirUserForm2">
                <anchor moveWithCells="1" sizeWithCells="1">
                  <from>
                    <xdr:col>3</xdr:col>
                    <xdr:colOff>1238250</xdr:colOff>
                    <xdr:row>23</xdr:row>
                    <xdr:rowOff>76200</xdr:rowOff>
                  </from>
                  <to>
                    <xdr:col>4</xdr:col>
                    <xdr:colOff>933450</xdr:colOff>
                    <xdr:row>23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AtualizarTudo">
                <anchor moveWithCells="1" sizeWithCells="1">
                  <from>
                    <xdr:col>0</xdr:col>
                    <xdr:colOff>133350</xdr:colOff>
                    <xdr:row>6</xdr:row>
                    <xdr:rowOff>171450</xdr:rowOff>
                  </from>
                  <to>
                    <xdr:col>1</xdr:col>
                    <xdr:colOff>600075</xdr:colOff>
                    <xdr:row>6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B3A7-8FD9-4B40-B7CC-F6B81A68AE68}">
  <sheetPr codeName="Planilha1">
    <tabColor theme="4" tint="0.59999389629810485"/>
  </sheetPr>
  <dimension ref="A1:O256"/>
  <sheetViews>
    <sheetView zoomScaleNormal="100" workbookViewId="0">
      <pane ySplit="3" topLeftCell="A184" activePane="bottomLeft" state="frozen"/>
      <selection pane="bottomLeft" activeCell="E145" sqref="E145:F145"/>
    </sheetView>
  </sheetViews>
  <sheetFormatPr defaultColWidth="13.7109375" defaultRowHeight="23.25" customHeight="1" x14ac:dyDescent="0.25"/>
  <cols>
    <col min="1" max="1" width="20.7109375" style="27" customWidth="1"/>
    <col min="2" max="2" width="6.7109375" style="5" customWidth="1"/>
    <col min="3" max="3" width="15.42578125" style="2" customWidth="1"/>
    <col min="4" max="4" width="58.42578125" style="9" customWidth="1"/>
    <col min="5" max="5" width="12.42578125" style="1" customWidth="1"/>
    <col min="6" max="6" width="10.7109375" style="3" customWidth="1"/>
    <col min="7" max="7" width="13.85546875" style="4" customWidth="1"/>
    <col min="8" max="8" width="11.7109375" style="409" customWidth="1"/>
    <col min="9" max="9" width="17.5703125" style="109" customWidth="1"/>
    <col min="10" max="10" width="15.140625" style="332" customWidth="1"/>
    <col min="12" max="12" width="13.7109375" style="2" customWidth="1"/>
    <col min="13" max="135" width="13.7109375" style="1" customWidth="1"/>
    <col min="136" max="16384" width="13.7109375" style="1"/>
  </cols>
  <sheetData>
    <row r="1" spans="1:15" s="261" customFormat="1" ht="6" customHeight="1" x14ac:dyDescent="0.25">
      <c r="A1" s="256"/>
      <c r="B1" s="257"/>
      <c r="C1" s="258"/>
      <c r="D1" s="258"/>
      <c r="E1" s="259"/>
      <c r="F1" s="260"/>
      <c r="H1" s="256"/>
      <c r="I1" s="262"/>
      <c r="J1" s="263"/>
      <c r="K1" s="264"/>
      <c r="L1" s="265"/>
      <c r="M1" s="266"/>
      <c r="N1" s="258"/>
    </row>
    <row r="2" spans="1:15" ht="29.25" customHeight="1" x14ac:dyDescent="0.25">
      <c r="A2" s="571" t="s">
        <v>57</v>
      </c>
      <c r="B2" s="571"/>
      <c r="C2" s="571"/>
      <c r="D2" s="571"/>
      <c r="E2" s="571"/>
      <c r="F2" s="571"/>
      <c r="G2" s="571"/>
      <c r="H2" s="571"/>
      <c r="I2" s="14" t="s">
        <v>49</v>
      </c>
      <c r="J2" s="504" t="s">
        <v>1519</v>
      </c>
      <c r="K2" s="505">
        <f ca="1">Resumo!E7</f>
        <v>0</v>
      </c>
      <c r="L2" s="12"/>
      <c r="M2" s="12"/>
      <c r="N2" s="12"/>
      <c r="O2" s="12"/>
    </row>
    <row r="3" spans="1:15" ht="23.25" customHeight="1" x14ac:dyDescent="0.25">
      <c r="A3" s="473" t="s">
        <v>1289</v>
      </c>
      <c r="B3" s="476" t="s">
        <v>27</v>
      </c>
      <c r="C3" s="25" t="s">
        <v>0</v>
      </c>
      <c r="D3" s="25" t="s">
        <v>1</v>
      </c>
      <c r="E3" s="25" t="s">
        <v>3</v>
      </c>
      <c r="F3" s="25" t="s">
        <v>4</v>
      </c>
      <c r="G3" s="25" t="s">
        <v>5</v>
      </c>
      <c r="H3" s="25" t="s">
        <v>2</v>
      </c>
      <c r="I3" s="25" t="s">
        <v>6</v>
      </c>
      <c r="J3" s="13"/>
      <c r="K3" s="12"/>
      <c r="L3" s="12"/>
      <c r="M3" s="12"/>
      <c r="N3" s="12"/>
      <c r="O3" s="12"/>
    </row>
    <row r="4" spans="1:15" ht="27.75" customHeight="1" x14ac:dyDescent="0.25">
      <c r="A4" s="474" t="str">
        <f t="shared" ref="A4" ca="1" si="0">IF(E4="","",IF(E4&gt;TODAY(),"Programado",IF(F4=TODAY()+1,"Expira amanhã",IF(F4=TODAY()+2,"Quase expirando",IF(F4=TODAY(),"Expira hoje",IF(F4&lt;=TODAY()-1,"Expirado","Ativado"))))))</f>
        <v>Ativado</v>
      </c>
      <c r="B4" s="469" t="s">
        <v>7</v>
      </c>
      <c r="C4" s="24" t="s">
        <v>2047</v>
      </c>
      <c r="D4" s="326" t="s">
        <v>2048</v>
      </c>
      <c r="E4" s="23">
        <v>46164</v>
      </c>
      <c r="F4" s="23">
        <v>46194</v>
      </c>
      <c r="G4" s="174">
        <f>Precificação[[#This Row],[Valor]]</f>
        <v>1126.53</v>
      </c>
      <c r="H4" s="512">
        <f t="shared" ref="H4:H66" ca="1" si="1">HYPERLINK("#'Precificação de produto'!J" &amp; ROW(), INDIRECT("'Precificação de produto'!J" &amp; ROW()))</f>
        <v>0.28999999999999998</v>
      </c>
      <c r="I4" s="175">
        <f>Precificação[[#This Row],[Preço anunciado]]</f>
        <v>799.83629999999994</v>
      </c>
      <c r="J4" s="333" t="b">
        <f>EXACT(Descontos[[#This Row],[Nome]],Precificação[[#This Row],[Nome]])</f>
        <v>1</v>
      </c>
      <c r="K4" s="11"/>
      <c r="L4" s="11"/>
      <c r="M4" s="11"/>
      <c r="N4" s="11"/>
      <c r="O4" s="11"/>
    </row>
    <row r="5" spans="1:15" ht="27.75" customHeight="1" x14ac:dyDescent="0.25">
      <c r="A5" s="474" t="str">
        <f t="shared" ref="A5" ca="1" si="2">IF(E5="","",IF(E5&gt;TODAY(),"Programado",IF(F5=TODAY()+1,"Expira amanhã",IF(F5=TODAY()+2,"Quase expirando",IF(F5=TODAY(),"Expira hoje",IF(F5&lt;=TODAY()-1,"Expirado","Ativado"))))))</f>
        <v>Ativado</v>
      </c>
      <c r="B5" s="469" t="s">
        <v>7</v>
      </c>
      <c r="C5" s="24" t="s">
        <v>2044</v>
      </c>
      <c r="D5" s="326" t="s">
        <v>2046</v>
      </c>
      <c r="E5" s="23">
        <v>46162</v>
      </c>
      <c r="F5" s="23">
        <v>46192</v>
      </c>
      <c r="G5" s="174">
        <f>Precificação[[#This Row],[Valor]]</f>
        <v>4156</v>
      </c>
      <c r="H5" s="512">
        <f t="shared" ca="1" si="1"/>
        <v>0.31</v>
      </c>
      <c r="I5" s="175">
        <f>Precificação[[#This Row],[Preço anunciado]]</f>
        <v>2867.64</v>
      </c>
      <c r="J5" s="333" t="b">
        <f>EXACT(Descontos[[#This Row],[Nome]],Precificação[[#This Row],[Nome]])</f>
        <v>1</v>
      </c>
      <c r="K5" s="11"/>
      <c r="L5" s="11"/>
      <c r="M5" s="11"/>
      <c r="N5" s="11"/>
      <c r="O5" s="11"/>
    </row>
    <row r="6" spans="1:15" ht="27.75" customHeight="1" x14ac:dyDescent="0.25">
      <c r="A6" s="474" t="str">
        <f t="shared" ref="A6" ca="1" si="3">IF(E6="","",IF(E6&gt;TODAY(),"Programado",IF(F6=TODAY()+1,"Expira amanhã",IF(F6=TODAY()+2,"Quase expirando",IF(F6=TODAY(),"Expira hoje",IF(F6&lt;=TODAY()-1,"Expirado","Ativado"))))))</f>
        <v/>
      </c>
      <c r="B6" s="469" t="s">
        <v>7</v>
      </c>
      <c r="C6" s="24" t="s">
        <v>1999</v>
      </c>
      <c r="D6" s="326" t="s">
        <v>2001</v>
      </c>
      <c r="E6" s="23"/>
      <c r="F6" s="23"/>
      <c r="G6" s="174">
        <f>Precificação[[#This Row],[Valor]]</f>
        <v>56.5</v>
      </c>
      <c r="H6" s="512">
        <f t="shared" ca="1" si="1"/>
        <v>0</v>
      </c>
      <c r="I6" s="175">
        <f>Precificação[[#This Row],[Preço anunciado]]</f>
        <v>56.5</v>
      </c>
      <c r="J6" s="333" t="b">
        <f>EXACT(Descontos[[#This Row],[Nome]],Precificação[[#This Row],[Nome]])</f>
        <v>1</v>
      </c>
      <c r="K6" s="11"/>
      <c r="L6" s="11"/>
      <c r="M6" s="11"/>
      <c r="N6" s="11"/>
      <c r="O6" s="11"/>
    </row>
    <row r="7" spans="1:15" ht="27.75" customHeight="1" x14ac:dyDescent="0.25">
      <c r="A7" s="474" t="str">
        <f t="shared" ref="A7" ca="1" si="4">IF(E7="","",IF(E7&gt;TODAY(),"Programado",IF(F7=TODAY()+1,"Expira amanhã",IF(F7=TODAY()+2,"Quase expirando",IF(F7=TODAY(),"Expira hoje",IF(F7&lt;=TODAY()-1,"Expirado","Ativado"))))))</f>
        <v/>
      </c>
      <c r="B7" s="469" t="s">
        <v>7</v>
      </c>
      <c r="C7" s="24" t="s">
        <v>1996</v>
      </c>
      <c r="D7" s="326" t="s">
        <v>1998</v>
      </c>
      <c r="E7" s="23"/>
      <c r="F7" s="23"/>
      <c r="G7" s="174">
        <f>Precificação[[#This Row],[Valor]]</f>
        <v>102.05</v>
      </c>
      <c r="H7" s="512">
        <f t="shared" ca="1" si="1"/>
        <v>0</v>
      </c>
      <c r="I7" s="175">
        <f>Precificação[[#This Row],[Preço anunciado]]</f>
        <v>102.05</v>
      </c>
      <c r="J7" s="333" t="b">
        <f>EXACT(Descontos[[#This Row],[Nome]],Precificação[[#This Row],[Nome]])</f>
        <v>1</v>
      </c>
      <c r="K7" s="11"/>
      <c r="L7" s="11"/>
      <c r="M7" s="11"/>
      <c r="N7" s="11"/>
      <c r="O7" s="11"/>
    </row>
    <row r="8" spans="1:15" ht="27.75" customHeight="1" x14ac:dyDescent="0.25">
      <c r="A8" s="474" t="str">
        <f t="shared" ref="A8" ca="1" si="5">IF(E8="","",IF(E8&gt;TODAY(),"Programado",IF(F8=TODAY()+1,"Expira amanhã",IF(F8=TODAY()+2,"Quase expirando",IF(F8=TODAY(),"Expira hoje",IF(F8&lt;=TODAY()-1,"Expirado","Ativado"))))))</f>
        <v/>
      </c>
      <c r="B8" s="469" t="s">
        <v>7</v>
      </c>
      <c r="C8" s="24" t="s">
        <v>1993</v>
      </c>
      <c r="D8" s="326" t="s">
        <v>1995</v>
      </c>
      <c r="E8" s="23"/>
      <c r="F8" s="23"/>
      <c r="G8" s="174">
        <f>Precificação[[#This Row],[Valor]]</f>
        <v>89.12</v>
      </c>
      <c r="H8" s="512">
        <f t="shared" ca="1" si="1"/>
        <v>0</v>
      </c>
      <c r="I8" s="175">
        <f>Precificação[[#This Row],[Preço anunciado]]</f>
        <v>89.12</v>
      </c>
      <c r="J8" s="333" t="b">
        <f>EXACT(Descontos[[#This Row],[Nome]],Precificação[[#This Row],[Nome]])</f>
        <v>1</v>
      </c>
      <c r="K8" s="11"/>
      <c r="L8" s="11"/>
      <c r="M8" s="11"/>
      <c r="N8" s="11"/>
      <c r="O8" s="11"/>
    </row>
    <row r="9" spans="1:15" ht="27.75" customHeight="1" x14ac:dyDescent="0.25">
      <c r="A9" s="474" t="str">
        <f t="shared" ref="A9" ca="1" si="6">IF(E9="","",IF(E9&gt;TODAY(),"Programado",IF(F9=TODAY()+1,"Expira amanhã",IF(F9=TODAY()+2,"Quase expirando",IF(F9=TODAY(),"Expira hoje",IF(F9&lt;=TODAY()-1,"Expirado","Ativado"))))))</f>
        <v>Ativado</v>
      </c>
      <c r="B9" s="469" t="s">
        <v>7</v>
      </c>
      <c r="C9" s="24" t="s">
        <v>1866</v>
      </c>
      <c r="D9" s="326" t="s">
        <v>1868</v>
      </c>
      <c r="E9" s="23">
        <v>46169</v>
      </c>
      <c r="F9" s="23">
        <v>46199</v>
      </c>
      <c r="G9" s="174">
        <f>Precificação[[#This Row],[Valor]]</f>
        <v>2456.52</v>
      </c>
      <c r="H9" s="512">
        <f t="shared" ca="1" si="1"/>
        <v>0.17</v>
      </c>
      <c r="I9" s="175">
        <f>Precificação[[#This Row],[Preço anunciado]]</f>
        <v>2038.9115999999999</v>
      </c>
      <c r="J9" s="333" t="b">
        <f>EXACT(Descontos[[#This Row],[Nome]],Precificação[[#This Row],[Nome]])</f>
        <v>1</v>
      </c>
      <c r="K9" s="11"/>
      <c r="L9" s="11"/>
      <c r="M9" s="11"/>
      <c r="N9" s="11"/>
      <c r="O9" s="11"/>
    </row>
    <row r="10" spans="1:15" ht="27.75" customHeight="1" x14ac:dyDescent="0.25">
      <c r="A10" s="474" t="str">
        <f t="shared" ref="A10" ca="1" si="7">IF(E10="","",IF(E10&gt;TODAY(),"Programado",IF(F10=TODAY()+1,"Expira amanhã",IF(F10=TODAY()+2,"Quase expirando",IF(F10=TODAY(),"Expira hoje",IF(F10&lt;=TODAY()-1,"Expirado","Ativado"))))))</f>
        <v/>
      </c>
      <c r="B10" s="469" t="s">
        <v>7</v>
      </c>
      <c r="C10" s="24" t="s">
        <v>1863</v>
      </c>
      <c r="D10" s="326" t="s">
        <v>1865</v>
      </c>
      <c r="E10" s="23"/>
      <c r="F10" s="23"/>
      <c r="G10" s="174">
        <f>Precificação[[#This Row],[Valor]]</f>
        <v>245.5</v>
      </c>
      <c r="H10" s="512">
        <f t="shared" ca="1" si="1"/>
        <v>0.5</v>
      </c>
      <c r="I10" s="175">
        <f>Precificação[[#This Row],[Preço anunciado]]</f>
        <v>122.75</v>
      </c>
      <c r="J10" s="333" t="b">
        <f>EXACT(Descontos[[#This Row],[Nome]],Precificação[[#This Row],[Nome]])</f>
        <v>1</v>
      </c>
      <c r="K10" s="11"/>
      <c r="L10" s="11"/>
      <c r="M10" s="11"/>
      <c r="N10" s="11"/>
      <c r="O10" s="11"/>
    </row>
    <row r="11" spans="1:15" ht="27.75" customHeight="1" x14ac:dyDescent="0.25">
      <c r="A11" s="474" t="str">
        <f t="shared" ref="A11:A40" ca="1" si="8">IF(E11="","",IF(E11&gt;TODAY(),"Programado",IF(F11=TODAY()+1,"Expira amanhã",IF(F11=TODAY()+2,"Quase expirando",IF(F11=TODAY(),"Expira hoje",IF(F11&lt;=TODAY()-1,"Expirado","Ativado"))))))</f>
        <v>Ativado</v>
      </c>
      <c r="B11" s="469" t="s">
        <v>7</v>
      </c>
      <c r="C11" s="24" t="s">
        <v>1676</v>
      </c>
      <c r="D11" s="326" t="s">
        <v>1674</v>
      </c>
      <c r="E11" s="23">
        <v>46169</v>
      </c>
      <c r="F11" s="23">
        <v>46199</v>
      </c>
      <c r="G11" s="174">
        <f>Precificação[[#This Row],[Valor]]</f>
        <v>75.489999999999995</v>
      </c>
      <c r="H11" s="512">
        <f t="shared" ca="1" si="1"/>
        <v>0.55000000000000004</v>
      </c>
      <c r="I11" s="175">
        <f>Precificação[[#This Row],[Preço anunciado]]</f>
        <v>33.970499999999994</v>
      </c>
      <c r="J11" s="333" t="b">
        <f>EXACT(Descontos[[#This Row],[Nome]],Precificação[[#This Row],[Nome]])</f>
        <v>1</v>
      </c>
      <c r="K11" s="11"/>
      <c r="L11" s="11"/>
      <c r="M11" s="11"/>
      <c r="N11" s="11"/>
      <c r="O11" s="11"/>
    </row>
    <row r="12" spans="1:15" ht="27.75" customHeight="1" x14ac:dyDescent="0.25">
      <c r="A12" s="474" t="str">
        <f t="shared" ca="1" si="8"/>
        <v>Ativado</v>
      </c>
      <c r="B12" s="469" t="s">
        <v>7</v>
      </c>
      <c r="C12" s="510" t="s">
        <v>1678</v>
      </c>
      <c r="D12" s="326" t="s">
        <v>1677</v>
      </c>
      <c r="E12" s="23">
        <v>46169</v>
      </c>
      <c r="F12" s="23">
        <v>46199</v>
      </c>
      <c r="G12" s="174">
        <f>Precificação[[#This Row],[Valor]]</f>
        <v>75.489999999999995</v>
      </c>
      <c r="H12" s="533">
        <f t="shared" ref="H12:H36" ca="1" si="9">HYPERLINK("#'Precificação de produto'!J" &amp; ROW(), INDIRECT("'Precificação de produto'!J" &amp; ROW()))</f>
        <v>0.55000000000000004</v>
      </c>
      <c r="I12" s="175">
        <f>Precificação[[#This Row],[Preço anunciado]]</f>
        <v>33.970499999999994</v>
      </c>
      <c r="J12" s="333"/>
      <c r="K12" s="11"/>
      <c r="L12" s="11"/>
      <c r="M12" s="11"/>
      <c r="N12" s="11"/>
      <c r="O12" s="11"/>
    </row>
    <row r="13" spans="1:15" ht="27.75" customHeight="1" x14ac:dyDescent="0.25">
      <c r="A13" s="474" t="str">
        <f t="shared" ca="1" si="8"/>
        <v>Ativado</v>
      </c>
      <c r="B13" s="469" t="s">
        <v>7</v>
      </c>
      <c r="C13" s="510" t="s">
        <v>1756</v>
      </c>
      <c r="D13" s="326" t="s">
        <v>1679</v>
      </c>
      <c r="E13" s="23">
        <v>46169</v>
      </c>
      <c r="F13" s="23">
        <v>46199</v>
      </c>
      <c r="G13" s="174">
        <f>Precificação[[#This Row],[Valor]]</f>
        <v>75.489999999999995</v>
      </c>
      <c r="H13" s="533">
        <f t="shared" ca="1" si="9"/>
        <v>0.55000000000000004</v>
      </c>
      <c r="I13" s="175">
        <f>Precificação[[#This Row],[Preço anunciado]]</f>
        <v>33.970499999999994</v>
      </c>
      <c r="J13" s="333"/>
      <c r="K13" s="11"/>
      <c r="L13" s="11"/>
      <c r="M13" s="11"/>
      <c r="N13" s="11"/>
      <c r="O13" s="11"/>
    </row>
    <row r="14" spans="1:15" ht="27.75" customHeight="1" x14ac:dyDescent="0.25">
      <c r="A14" s="474" t="str">
        <f t="shared" ca="1" si="8"/>
        <v>Ativado</v>
      </c>
      <c r="B14" s="469" t="s">
        <v>7</v>
      </c>
      <c r="C14" s="510" t="s">
        <v>1680</v>
      </c>
      <c r="D14" s="326" t="s">
        <v>1681</v>
      </c>
      <c r="E14" s="23">
        <v>46169</v>
      </c>
      <c r="F14" s="23">
        <v>46199</v>
      </c>
      <c r="G14" s="174">
        <f>Precificação[[#This Row],[Valor]]</f>
        <v>75.489999999999995</v>
      </c>
      <c r="H14" s="533">
        <f t="shared" ca="1" si="9"/>
        <v>0.55000000000000004</v>
      </c>
      <c r="I14" s="175">
        <f>Precificação[[#This Row],[Preço anunciado]]</f>
        <v>33.970499999999994</v>
      </c>
      <c r="J14" s="333"/>
      <c r="K14" s="11"/>
      <c r="L14" s="11"/>
      <c r="M14" s="11"/>
      <c r="N14" s="11"/>
      <c r="O14" s="11"/>
    </row>
    <row r="15" spans="1:15" ht="27.75" customHeight="1" x14ac:dyDescent="0.25">
      <c r="A15" s="474" t="str">
        <f t="shared" ca="1" si="8"/>
        <v>Ativado</v>
      </c>
      <c r="B15" s="469" t="s">
        <v>7</v>
      </c>
      <c r="C15" s="510" t="s">
        <v>1683</v>
      </c>
      <c r="D15" s="326" t="s">
        <v>1682</v>
      </c>
      <c r="E15" s="23">
        <v>46169</v>
      </c>
      <c r="F15" s="23">
        <v>46199</v>
      </c>
      <c r="G15" s="174">
        <f>Precificação[[#This Row],[Valor]]</f>
        <v>75.489999999999995</v>
      </c>
      <c r="H15" s="533">
        <f t="shared" ca="1" si="9"/>
        <v>0.55000000000000004</v>
      </c>
      <c r="I15" s="175">
        <f>Precificação[[#This Row],[Preço anunciado]]</f>
        <v>33.970499999999994</v>
      </c>
      <c r="J15" s="333"/>
      <c r="K15" s="11"/>
      <c r="L15" s="11"/>
      <c r="M15" s="11"/>
      <c r="N15" s="11"/>
      <c r="O15" s="11"/>
    </row>
    <row r="16" spans="1:15" ht="27.75" customHeight="1" x14ac:dyDescent="0.25">
      <c r="A16" s="474" t="str">
        <f t="shared" ca="1" si="8"/>
        <v>Ativado</v>
      </c>
      <c r="B16" s="469" t="s">
        <v>7</v>
      </c>
      <c r="C16" s="510" t="s">
        <v>1685</v>
      </c>
      <c r="D16" s="326" t="s">
        <v>1684</v>
      </c>
      <c r="E16" s="23">
        <v>46169</v>
      </c>
      <c r="F16" s="23">
        <v>46199</v>
      </c>
      <c r="G16" s="174">
        <f>Precificação[[#This Row],[Valor]]</f>
        <v>75.489999999999995</v>
      </c>
      <c r="H16" s="533">
        <f t="shared" ca="1" si="9"/>
        <v>0.55000000000000004</v>
      </c>
      <c r="I16" s="175">
        <f>Precificação[[#This Row],[Preço anunciado]]</f>
        <v>33.970499999999994</v>
      </c>
      <c r="J16" s="333"/>
      <c r="K16" s="11"/>
      <c r="L16" s="11"/>
      <c r="M16" s="11"/>
      <c r="N16" s="11"/>
      <c r="O16" s="11"/>
    </row>
    <row r="17" spans="1:15" ht="27.75" customHeight="1" x14ac:dyDescent="0.25">
      <c r="A17" s="474" t="str">
        <f t="shared" ca="1" si="8"/>
        <v>Ativado</v>
      </c>
      <c r="B17" s="469" t="s">
        <v>7</v>
      </c>
      <c r="C17" s="510" t="s">
        <v>1687</v>
      </c>
      <c r="D17" s="326" t="s">
        <v>1686</v>
      </c>
      <c r="E17" s="23">
        <v>46169</v>
      </c>
      <c r="F17" s="23">
        <v>46199</v>
      </c>
      <c r="G17" s="174">
        <f>Precificação[[#This Row],[Valor]]</f>
        <v>75.489999999999995</v>
      </c>
      <c r="H17" s="533">
        <f t="shared" ca="1" si="9"/>
        <v>0.55000000000000004</v>
      </c>
      <c r="I17" s="175">
        <f>Precificação[[#This Row],[Preço anunciado]]</f>
        <v>33.970499999999994</v>
      </c>
      <c r="J17" s="333"/>
      <c r="K17" s="11"/>
      <c r="L17" s="11"/>
      <c r="M17" s="11"/>
      <c r="N17" s="11"/>
      <c r="O17" s="11"/>
    </row>
    <row r="18" spans="1:15" ht="27.75" customHeight="1" x14ac:dyDescent="0.25">
      <c r="A18" s="474" t="str">
        <f t="shared" ca="1" si="8"/>
        <v>Ativado</v>
      </c>
      <c r="B18" s="469" t="s">
        <v>7</v>
      </c>
      <c r="C18" s="510" t="s">
        <v>1689</v>
      </c>
      <c r="D18" s="326" t="s">
        <v>1688</v>
      </c>
      <c r="E18" s="23">
        <v>46169</v>
      </c>
      <c r="F18" s="23">
        <v>46199</v>
      </c>
      <c r="G18" s="174">
        <f>Precificação[[#This Row],[Valor]]</f>
        <v>75.489999999999995</v>
      </c>
      <c r="H18" s="533">
        <f t="shared" ca="1" si="9"/>
        <v>0.55000000000000004</v>
      </c>
      <c r="I18" s="175">
        <f>Precificação[[#This Row],[Preço anunciado]]</f>
        <v>33.970499999999994</v>
      </c>
      <c r="J18" s="333"/>
      <c r="K18" s="11"/>
      <c r="L18" s="11"/>
      <c r="M18" s="11"/>
      <c r="N18" s="11"/>
      <c r="O18" s="11"/>
    </row>
    <row r="19" spans="1:15" ht="27.75" customHeight="1" x14ac:dyDescent="0.25">
      <c r="A19" s="474" t="str">
        <f t="shared" ca="1" si="8"/>
        <v>Ativado</v>
      </c>
      <c r="B19" s="469" t="s">
        <v>7</v>
      </c>
      <c r="C19" s="510" t="s">
        <v>1709</v>
      </c>
      <c r="D19" s="326" t="s">
        <v>1690</v>
      </c>
      <c r="E19" s="23">
        <v>46169</v>
      </c>
      <c r="F19" s="23">
        <v>46199</v>
      </c>
      <c r="G19" s="174">
        <f>Precificação[[#This Row],[Valor]]</f>
        <v>75.489999999999995</v>
      </c>
      <c r="H19" s="533">
        <f t="shared" ca="1" si="9"/>
        <v>0.55000000000000004</v>
      </c>
      <c r="I19" s="175">
        <f>Precificação[[#This Row],[Preço anunciado]]</f>
        <v>33.970499999999994</v>
      </c>
      <c r="J19" s="333"/>
      <c r="K19" s="11"/>
      <c r="L19" s="11"/>
      <c r="M19" s="11"/>
      <c r="N19" s="11"/>
      <c r="O19" s="11"/>
    </row>
    <row r="20" spans="1:15" ht="27.75" customHeight="1" x14ac:dyDescent="0.25">
      <c r="A20" s="474" t="str">
        <f t="shared" ca="1" si="8"/>
        <v>Ativado</v>
      </c>
      <c r="B20" s="469" t="s">
        <v>7</v>
      </c>
      <c r="C20" s="510" t="s">
        <v>1710</v>
      </c>
      <c r="D20" s="326" t="s">
        <v>1691</v>
      </c>
      <c r="E20" s="23">
        <v>46169</v>
      </c>
      <c r="F20" s="23">
        <v>46199</v>
      </c>
      <c r="G20" s="174">
        <f>Precificação[[#This Row],[Valor]]</f>
        <v>75.489999999999995</v>
      </c>
      <c r="H20" s="533">
        <f t="shared" ca="1" si="9"/>
        <v>0.55000000000000004</v>
      </c>
      <c r="I20" s="175">
        <f>Precificação[[#This Row],[Preço anunciado]]</f>
        <v>33.970499999999994</v>
      </c>
      <c r="J20" s="333"/>
      <c r="K20" s="11"/>
      <c r="L20" s="11"/>
      <c r="M20" s="11"/>
      <c r="N20" s="11"/>
      <c r="O20" s="11"/>
    </row>
    <row r="21" spans="1:15" ht="27.75" customHeight="1" x14ac:dyDescent="0.25">
      <c r="A21" s="474" t="str">
        <f t="shared" ca="1" si="8"/>
        <v>Ativado</v>
      </c>
      <c r="B21" s="469" t="s">
        <v>7</v>
      </c>
      <c r="C21" s="510" t="s">
        <v>1711</v>
      </c>
      <c r="D21" s="326" t="s">
        <v>1692</v>
      </c>
      <c r="E21" s="23">
        <v>46169</v>
      </c>
      <c r="F21" s="23">
        <v>46199</v>
      </c>
      <c r="G21" s="174">
        <f>Precificação[[#This Row],[Valor]]</f>
        <v>75.489999999999995</v>
      </c>
      <c r="H21" s="533">
        <f t="shared" ca="1" si="9"/>
        <v>0.55000000000000004</v>
      </c>
      <c r="I21" s="175">
        <f>Precificação[[#This Row],[Preço anunciado]]</f>
        <v>33.970499999999994</v>
      </c>
      <c r="J21" s="333"/>
      <c r="K21" s="11"/>
      <c r="L21" s="11"/>
      <c r="M21" s="11"/>
      <c r="N21" s="11"/>
      <c r="O21" s="11"/>
    </row>
    <row r="22" spans="1:15" ht="27.75" customHeight="1" x14ac:dyDescent="0.25">
      <c r="A22" s="474" t="str">
        <f t="shared" ca="1" si="8"/>
        <v>Ativado</v>
      </c>
      <c r="B22" s="469" t="s">
        <v>7</v>
      </c>
      <c r="C22" s="510" t="s">
        <v>1712</v>
      </c>
      <c r="D22" s="326" t="s">
        <v>1693</v>
      </c>
      <c r="E22" s="23">
        <v>46169</v>
      </c>
      <c r="F22" s="23">
        <v>46199</v>
      </c>
      <c r="G22" s="174">
        <f>Precificação[[#This Row],[Valor]]</f>
        <v>75.489999999999995</v>
      </c>
      <c r="H22" s="533">
        <f t="shared" ca="1" si="9"/>
        <v>0.55000000000000004</v>
      </c>
      <c r="I22" s="175">
        <f>Precificação[[#This Row],[Preço anunciado]]</f>
        <v>33.970499999999994</v>
      </c>
      <c r="J22" s="333"/>
      <c r="K22" s="11"/>
      <c r="L22" s="11"/>
      <c r="M22" s="11"/>
      <c r="N22" s="11"/>
      <c r="O22" s="11"/>
    </row>
    <row r="23" spans="1:15" ht="27.75" customHeight="1" x14ac:dyDescent="0.25">
      <c r="A23" s="474" t="str">
        <f t="shared" ca="1" si="8"/>
        <v>Ativado</v>
      </c>
      <c r="B23" s="469" t="s">
        <v>7</v>
      </c>
      <c r="C23" s="510" t="s">
        <v>1713</v>
      </c>
      <c r="D23" s="326" t="s">
        <v>1694</v>
      </c>
      <c r="E23" s="23">
        <v>46169</v>
      </c>
      <c r="F23" s="23">
        <v>46199</v>
      </c>
      <c r="G23" s="174">
        <f>Precificação[[#This Row],[Valor]]</f>
        <v>75.489999999999995</v>
      </c>
      <c r="H23" s="533">
        <f t="shared" ca="1" si="9"/>
        <v>0.55000000000000004</v>
      </c>
      <c r="I23" s="175">
        <f>Precificação[[#This Row],[Preço anunciado]]</f>
        <v>33.970499999999994</v>
      </c>
      <c r="J23" s="333"/>
      <c r="K23" s="11"/>
      <c r="L23" s="11"/>
      <c r="M23" s="11"/>
      <c r="N23" s="11"/>
      <c r="O23" s="11"/>
    </row>
    <row r="24" spans="1:15" ht="27.75" customHeight="1" x14ac:dyDescent="0.25">
      <c r="A24" s="474" t="str">
        <f t="shared" ca="1" si="8"/>
        <v>Ativado</v>
      </c>
      <c r="B24" s="469" t="s">
        <v>7</v>
      </c>
      <c r="C24" s="510" t="s">
        <v>1714</v>
      </c>
      <c r="D24" s="326" t="s">
        <v>1695</v>
      </c>
      <c r="E24" s="23">
        <v>46169</v>
      </c>
      <c r="F24" s="23">
        <v>46199</v>
      </c>
      <c r="G24" s="174">
        <f>Precificação[[#This Row],[Valor]]</f>
        <v>75.489999999999995</v>
      </c>
      <c r="H24" s="533">
        <f t="shared" ca="1" si="9"/>
        <v>0.55000000000000004</v>
      </c>
      <c r="I24" s="175">
        <f>Precificação[[#This Row],[Preço anunciado]]</f>
        <v>33.970499999999994</v>
      </c>
      <c r="J24" s="333"/>
      <c r="K24" s="11"/>
      <c r="L24" s="11"/>
      <c r="M24" s="11"/>
      <c r="N24" s="11"/>
      <c r="O24" s="11"/>
    </row>
    <row r="25" spans="1:15" ht="27.75" customHeight="1" x14ac:dyDescent="0.25">
      <c r="A25" s="474" t="str">
        <f t="shared" ca="1" si="8"/>
        <v>Ativado</v>
      </c>
      <c r="B25" s="469" t="s">
        <v>7</v>
      </c>
      <c r="C25" s="510" t="s">
        <v>1715</v>
      </c>
      <c r="D25" s="326" t="s">
        <v>1696</v>
      </c>
      <c r="E25" s="23">
        <v>46169</v>
      </c>
      <c r="F25" s="23">
        <v>46199</v>
      </c>
      <c r="G25" s="174">
        <f>Precificação[[#This Row],[Valor]]</f>
        <v>75.489999999999995</v>
      </c>
      <c r="H25" s="533">
        <f t="shared" ca="1" si="9"/>
        <v>0.55000000000000004</v>
      </c>
      <c r="I25" s="175">
        <f>Precificação[[#This Row],[Preço anunciado]]</f>
        <v>33.970499999999994</v>
      </c>
      <c r="J25" s="333"/>
      <c r="K25" s="11"/>
      <c r="L25" s="11"/>
      <c r="M25" s="11"/>
      <c r="N25" s="11"/>
      <c r="O25" s="11"/>
    </row>
    <row r="26" spans="1:15" ht="27.75" customHeight="1" x14ac:dyDescent="0.25">
      <c r="A26" s="474" t="str">
        <f t="shared" ca="1" si="8"/>
        <v>Ativado</v>
      </c>
      <c r="B26" s="469" t="s">
        <v>7</v>
      </c>
      <c r="C26" s="510" t="s">
        <v>1716</v>
      </c>
      <c r="D26" s="326" t="s">
        <v>1697</v>
      </c>
      <c r="E26" s="23">
        <v>46169</v>
      </c>
      <c r="F26" s="23">
        <v>46199</v>
      </c>
      <c r="G26" s="174">
        <f>Precificação[[#This Row],[Valor]]</f>
        <v>75.489999999999995</v>
      </c>
      <c r="H26" s="533">
        <f t="shared" ca="1" si="9"/>
        <v>0.55000000000000004</v>
      </c>
      <c r="I26" s="175">
        <f>Precificação[[#This Row],[Preço anunciado]]</f>
        <v>33.970499999999994</v>
      </c>
      <c r="J26" s="333"/>
      <c r="K26" s="11"/>
      <c r="L26" s="11"/>
      <c r="M26" s="11"/>
      <c r="N26" s="11"/>
      <c r="O26" s="11"/>
    </row>
    <row r="27" spans="1:15" ht="27.75" customHeight="1" x14ac:dyDescent="0.25">
      <c r="A27" s="474" t="str">
        <f t="shared" ca="1" si="8"/>
        <v>Ativado</v>
      </c>
      <c r="B27" s="469" t="s">
        <v>7</v>
      </c>
      <c r="C27" s="510" t="s">
        <v>1717</v>
      </c>
      <c r="D27" s="326" t="s">
        <v>1697</v>
      </c>
      <c r="E27" s="23">
        <v>46169</v>
      </c>
      <c r="F27" s="23">
        <v>46199</v>
      </c>
      <c r="G27" s="174">
        <f>Precificação[[#This Row],[Valor]]</f>
        <v>75.489999999999995</v>
      </c>
      <c r="H27" s="533">
        <f t="shared" ca="1" si="9"/>
        <v>0.55000000000000004</v>
      </c>
      <c r="I27" s="175">
        <f>Precificação[[#This Row],[Preço anunciado]]</f>
        <v>33.970499999999994</v>
      </c>
      <c r="J27" s="333"/>
      <c r="K27" s="11"/>
      <c r="L27" s="11"/>
      <c r="M27" s="11"/>
      <c r="N27" s="11"/>
      <c r="O27" s="11"/>
    </row>
    <row r="28" spans="1:15" ht="27.75" customHeight="1" x14ac:dyDescent="0.25">
      <c r="A28" s="474" t="str">
        <f t="shared" ca="1" si="8"/>
        <v>Ativado</v>
      </c>
      <c r="B28" s="469" t="s">
        <v>7</v>
      </c>
      <c r="C28" s="510" t="s">
        <v>1718</v>
      </c>
      <c r="D28" s="326" t="s">
        <v>1699</v>
      </c>
      <c r="E28" s="23">
        <v>46169</v>
      </c>
      <c r="F28" s="23">
        <v>46199</v>
      </c>
      <c r="G28" s="174">
        <f>Precificação[[#This Row],[Valor]]</f>
        <v>75.489999999999995</v>
      </c>
      <c r="H28" s="533">
        <f t="shared" ca="1" si="9"/>
        <v>0.55000000000000004</v>
      </c>
      <c r="I28" s="175">
        <f>Precificação[[#This Row],[Preço anunciado]]</f>
        <v>33.970499999999994</v>
      </c>
      <c r="J28" s="333"/>
      <c r="K28" s="11"/>
      <c r="L28" s="11"/>
      <c r="M28" s="11"/>
      <c r="N28" s="11"/>
      <c r="O28" s="11"/>
    </row>
    <row r="29" spans="1:15" ht="27.75" customHeight="1" x14ac:dyDescent="0.25">
      <c r="A29" s="474" t="str">
        <f t="shared" ca="1" si="8"/>
        <v>Ativado</v>
      </c>
      <c r="B29" s="469" t="s">
        <v>7</v>
      </c>
      <c r="C29" s="510" t="s">
        <v>1719</v>
      </c>
      <c r="D29" s="326" t="s">
        <v>1700</v>
      </c>
      <c r="E29" s="23">
        <v>46169</v>
      </c>
      <c r="F29" s="23">
        <v>46199</v>
      </c>
      <c r="G29" s="174">
        <f>Precificação[[#This Row],[Valor]]</f>
        <v>75.489999999999995</v>
      </c>
      <c r="H29" s="533">
        <f t="shared" ca="1" si="9"/>
        <v>0.55000000000000004</v>
      </c>
      <c r="I29" s="175">
        <f>Precificação[[#This Row],[Preço anunciado]]</f>
        <v>33.970499999999994</v>
      </c>
      <c r="J29" s="333"/>
      <c r="K29" s="11"/>
      <c r="L29" s="11"/>
      <c r="M29" s="11"/>
      <c r="N29" s="11"/>
      <c r="O29" s="11"/>
    </row>
    <row r="30" spans="1:15" ht="27.75" customHeight="1" x14ac:dyDescent="0.25">
      <c r="A30" s="474" t="str">
        <f t="shared" ca="1" si="8"/>
        <v>Ativado</v>
      </c>
      <c r="B30" s="469" t="s">
        <v>7</v>
      </c>
      <c r="C30" s="510" t="s">
        <v>1721</v>
      </c>
      <c r="D30" s="326" t="s">
        <v>1701</v>
      </c>
      <c r="E30" s="23">
        <v>46169</v>
      </c>
      <c r="F30" s="23">
        <v>46199</v>
      </c>
      <c r="G30" s="174">
        <f>Precificação[[#This Row],[Valor]]</f>
        <v>75.489999999999995</v>
      </c>
      <c r="H30" s="533">
        <f t="shared" ca="1" si="9"/>
        <v>0.55000000000000004</v>
      </c>
      <c r="I30" s="175">
        <f>Precificação[[#This Row],[Preço anunciado]]</f>
        <v>33.970499999999994</v>
      </c>
      <c r="J30" s="333"/>
      <c r="K30" s="11"/>
      <c r="L30" s="11"/>
      <c r="M30" s="11"/>
      <c r="N30" s="11"/>
      <c r="O30" s="11"/>
    </row>
    <row r="31" spans="1:15" ht="27.75" customHeight="1" x14ac:dyDescent="0.25">
      <c r="A31" s="474" t="str">
        <f t="shared" ca="1" si="8"/>
        <v>Ativado</v>
      </c>
      <c r="B31" s="469" t="s">
        <v>7</v>
      </c>
      <c r="C31" s="510" t="s">
        <v>1722</v>
      </c>
      <c r="D31" s="326" t="s">
        <v>1702</v>
      </c>
      <c r="E31" s="23">
        <v>46169</v>
      </c>
      <c r="F31" s="23">
        <v>46199</v>
      </c>
      <c r="G31" s="174">
        <f>Precificação[[#This Row],[Valor]]</f>
        <v>75.489999999999995</v>
      </c>
      <c r="H31" s="533">
        <f t="shared" ca="1" si="9"/>
        <v>0.55000000000000004</v>
      </c>
      <c r="I31" s="175">
        <f>Precificação[[#This Row],[Preço anunciado]]</f>
        <v>33.970499999999994</v>
      </c>
      <c r="J31" s="333"/>
      <c r="K31" s="11"/>
      <c r="L31" s="11"/>
      <c r="M31" s="11"/>
      <c r="N31" s="11"/>
      <c r="O31" s="11"/>
    </row>
    <row r="32" spans="1:15" ht="27.75" customHeight="1" x14ac:dyDescent="0.25">
      <c r="A32" s="474" t="str">
        <f t="shared" ca="1" si="8"/>
        <v>Ativado</v>
      </c>
      <c r="B32" s="469" t="s">
        <v>7</v>
      </c>
      <c r="C32" s="510" t="s">
        <v>1723</v>
      </c>
      <c r="D32" s="326" t="s">
        <v>1703</v>
      </c>
      <c r="E32" s="23">
        <v>46169</v>
      </c>
      <c r="F32" s="23">
        <v>46199</v>
      </c>
      <c r="G32" s="174">
        <f>Precificação[[#This Row],[Valor]]</f>
        <v>75.489999999999995</v>
      </c>
      <c r="H32" s="533">
        <f t="shared" ca="1" si="9"/>
        <v>0.55000000000000004</v>
      </c>
      <c r="I32" s="175">
        <f>Precificação[[#This Row],[Preço anunciado]]</f>
        <v>33.970499999999994</v>
      </c>
      <c r="J32" s="333"/>
      <c r="K32" s="11"/>
      <c r="L32" s="11"/>
      <c r="M32" s="11"/>
      <c r="N32" s="11"/>
      <c r="O32" s="11"/>
    </row>
    <row r="33" spans="1:15" ht="27.75" customHeight="1" x14ac:dyDescent="0.25">
      <c r="A33" s="474" t="str">
        <f t="shared" ca="1" si="8"/>
        <v>Ativado</v>
      </c>
      <c r="B33" s="469" t="s">
        <v>7</v>
      </c>
      <c r="C33" s="510" t="s">
        <v>1724</v>
      </c>
      <c r="D33" s="326" t="s">
        <v>1704</v>
      </c>
      <c r="E33" s="23">
        <v>46169</v>
      </c>
      <c r="F33" s="23">
        <v>46199</v>
      </c>
      <c r="G33" s="174">
        <f>Precificação[[#This Row],[Valor]]</f>
        <v>75.489999999999995</v>
      </c>
      <c r="H33" s="533">
        <f t="shared" ca="1" si="9"/>
        <v>0.55000000000000004</v>
      </c>
      <c r="I33" s="175">
        <f>Precificação[[#This Row],[Preço anunciado]]</f>
        <v>33.970499999999994</v>
      </c>
      <c r="J33" s="333"/>
      <c r="K33" s="11"/>
      <c r="L33" s="11"/>
      <c r="M33" s="11"/>
      <c r="N33" s="11"/>
      <c r="O33" s="11"/>
    </row>
    <row r="34" spans="1:15" ht="27.75" customHeight="1" x14ac:dyDescent="0.25">
      <c r="A34" s="474" t="str">
        <f t="shared" ca="1" si="8"/>
        <v>Ativado</v>
      </c>
      <c r="B34" s="469" t="s">
        <v>7</v>
      </c>
      <c r="C34" s="510" t="s">
        <v>1725</v>
      </c>
      <c r="D34" s="326" t="s">
        <v>1705</v>
      </c>
      <c r="E34" s="23">
        <v>46169</v>
      </c>
      <c r="F34" s="23">
        <v>46199</v>
      </c>
      <c r="G34" s="174">
        <f>Precificação[[#This Row],[Valor]]</f>
        <v>75.489999999999995</v>
      </c>
      <c r="H34" s="533">
        <f t="shared" ca="1" si="9"/>
        <v>0.55000000000000004</v>
      </c>
      <c r="I34" s="175">
        <f>Precificação[[#This Row],[Preço anunciado]]</f>
        <v>33.970499999999994</v>
      </c>
      <c r="J34" s="333"/>
      <c r="K34" s="11"/>
      <c r="L34" s="11"/>
      <c r="M34" s="11"/>
      <c r="N34" s="11"/>
      <c r="O34" s="11"/>
    </row>
    <row r="35" spans="1:15" ht="27.75" customHeight="1" x14ac:dyDescent="0.25">
      <c r="A35" s="474" t="str">
        <f t="shared" ca="1" si="8"/>
        <v>Ativado</v>
      </c>
      <c r="B35" s="469" t="s">
        <v>7</v>
      </c>
      <c r="C35" s="510" t="s">
        <v>1726</v>
      </c>
      <c r="D35" s="326" t="s">
        <v>1706</v>
      </c>
      <c r="E35" s="23">
        <v>46169</v>
      </c>
      <c r="F35" s="23">
        <v>46199</v>
      </c>
      <c r="G35" s="174">
        <f>Precificação[[#This Row],[Valor]]</f>
        <v>75.489999999999995</v>
      </c>
      <c r="H35" s="533">
        <f t="shared" ca="1" si="9"/>
        <v>0.55000000000000004</v>
      </c>
      <c r="I35" s="175">
        <f>Precificação[[#This Row],[Preço anunciado]]</f>
        <v>33.970499999999994</v>
      </c>
      <c r="J35" s="333"/>
      <c r="K35" s="11"/>
      <c r="L35" s="11"/>
      <c r="M35" s="11"/>
      <c r="N35" s="11"/>
      <c r="O35" s="11"/>
    </row>
    <row r="36" spans="1:15" ht="27.75" customHeight="1" x14ac:dyDescent="0.25">
      <c r="A36" s="474" t="str">
        <f t="shared" ca="1" si="8"/>
        <v>Ativado</v>
      </c>
      <c r="B36" s="469" t="s">
        <v>7</v>
      </c>
      <c r="C36" s="510" t="s">
        <v>1727</v>
      </c>
      <c r="D36" s="326" t="s">
        <v>1707</v>
      </c>
      <c r="E36" s="23">
        <v>46169</v>
      </c>
      <c r="F36" s="23">
        <v>46199</v>
      </c>
      <c r="G36" s="174">
        <f>Precificação[[#This Row],[Valor]]</f>
        <v>75.489999999999995</v>
      </c>
      <c r="H36" s="533">
        <f t="shared" ca="1" si="9"/>
        <v>0.55000000000000004</v>
      </c>
      <c r="I36" s="175">
        <f>Precificação[[#This Row],[Preço anunciado]]</f>
        <v>33.970499999999994</v>
      </c>
      <c r="J36" s="333"/>
      <c r="K36" s="11"/>
      <c r="L36" s="11"/>
      <c r="M36" s="11"/>
      <c r="N36" s="11"/>
      <c r="O36" s="11"/>
    </row>
    <row r="37" spans="1:15" ht="27.75" customHeight="1" x14ac:dyDescent="0.25">
      <c r="A37" s="474" t="str">
        <f t="shared" ca="1" si="8"/>
        <v>Ativado</v>
      </c>
      <c r="B37" s="469" t="s">
        <v>7</v>
      </c>
      <c r="C37" s="510" t="s">
        <v>1728</v>
      </c>
      <c r="D37" s="326" t="s">
        <v>1708</v>
      </c>
      <c r="E37" s="23">
        <v>46169</v>
      </c>
      <c r="F37" s="23">
        <v>46199</v>
      </c>
      <c r="G37" s="174">
        <f>Precificação[[#This Row],[Valor]]</f>
        <v>75.489999999999995</v>
      </c>
      <c r="H37" s="533">
        <f ca="1">HYPERLINK("#'Precificação de produto'!J" &amp; ROW(), INDIRECT("'Precificação de produto'!J" &amp; ROW()))</f>
        <v>0.55000000000000004</v>
      </c>
      <c r="I37" s="175">
        <f>Precificação[[#This Row],[Preço anunciado]]</f>
        <v>33.970499999999994</v>
      </c>
      <c r="J37" s="333"/>
      <c r="K37" s="11"/>
      <c r="L37" s="11"/>
      <c r="M37" s="11"/>
      <c r="N37" s="11"/>
      <c r="O37" s="11"/>
    </row>
    <row r="38" spans="1:15" ht="27.75" customHeight="1" x14ac:dyDescent="0.25">
      <c r="A38" s="474" t="str">
        <f t="shared" ca="1" si="8"/>
        <v/>
      </c>
      <c r="B38" s="469" t="s">
        <v>7</v>
      </c>
      <c r="C38" s="24" t="s">
        <v>1671</v>
      </c>
      <c r="D38" s="326" t="s">
        <v>1666</v>
      </c>
      <c r="E38" s="23"/>
      <c r="F38" s="23"/>
      <c r="G38" s="174">
        <f>Precificação[[#This Row],[Valor]]</f>
        <v>184.3</v>
      </c>
      <c r="H38" s="512">
        <f t="shared" ca="1" si="1"/>
        <v>0</v>
      </c>
      <c r="I38" s="175">
        <f>Precificação[[#This Row],[Preço anunciado]]</f>
        <v>184.3</v>
      </c>
      <c r="J38" s="333" t="b">
        <f>EXACT(Descontos[[#This Row],[Nome]],Precificação[[#This Row],[Nome]])</f>
        <v>1</v>
      </c>
      <c r="K38" s="11"/>
      <c r="L38" s="11"/>
      <c r="M38" s="11"/>
      <c r="N38" s="11"/>
      <c r="O38" s="11"/>
    </row>
    <row r="39" spans="1:15" ht="27.75" customHeight="1" x14ac:dyDescent="0.25">
      <c r="A39" s="474" t="str">
        <f t="shared" ca="1" si="8"/>
        <v/>
      </c>
      <c r="B39" s="469" t="s">
        <v>7</v>
      </c>
      <c r="C39" s="24" t="s">
        <v>1670</v>
      </c>
      <c r="D39" s="326" t="s">
        <v>1669</v>
      </c>
      <c r="E39" s="23"/>
      <c r="F39" s="23"/>
      <c r="G39" s="174">
        <f>Precificação[[#This Row],[Valor]]</f>
        <v>150</v>
      </c>
      <c r="H39" s="512">
        <f t="shared" ca="1" si="1"/>
        <v>0</v>
      </c>
      <c r="I39" s="175">
        <f>Precificação[[#This Row],[Preço anunciado]]</f>
        <v>150</v>
      </c>
      <c r="J39" s="333" t="b">
        <f>EXACT(Descontos[[#This Row],[Nome]],Precificação[[#This Row],[Nome]])</f>
        <v>1</v>
      </c>
      <c r="K39" s="11"/>
      <c r="L39" s="11"/>
      <c r="M39" s="11"/>
      <c r="N39" s="11"/>
      <c r="O39" s="11"/>
    </row>
    <row r="40" spans="1:15" ht="27.75" customHeight="1" x14ac:dyDescent="0.25">
      <c r="A40" s="474" t="str">
        <f t="shared" ca="1" si="8"/>
        <v/>
      </c>
      <c r="B40" s="469" t="s">
        <v>7</v>
      </c>
      <c r="C40" s="24" t="s">
        <v>1665</v>
      </c>
      <c r="D40" s="326" t="s">
        <v>1664</v>
      </c>
      <c r="E40" s="23"/>
      <c r="F40" s="23"/>
      <c r="G40" s="174">
        <f>Precificação[[#This Row],[Valor]]</f>
        <v>336.7</v>
      </c>
      <c r="H40" s="512">
        <f t="shared" ca="1" si="1"/>
        <v>0</v>
      </c>
      <c r="I40" s="175">
        <f>Precificação[[#This Row],[Preço anunciado]]</f>
        <v>336.7</v>
      </c>
      <c r="J40" s="333" t="b">
        <f>EXACT(Descontos[[#This Row],[Nome]],Precificação[[#This Row],[Nome]])</f>
        <v>1</v>
      </c>
      <c r="K40" s="11"/>
      <c r="L40" s="11"/>
      <c r="M40" s="11"/>
      <c r="N40" s="11"/>
      <c r="O40" s="11"/>
    </row>
    <row r="41" spans="1:15" ht="27.75" customHeight="1" x14ac:dyDescent="0.25">
      <c r="A41" s="474" t="str">
        <f t="shared" ref="A41:A69" ca="1" si="10">IF(E41="","",IF(E41&gt;TODAY(),"Programado",IF(F41=TODAY()+1,"Expira amanhã",IF(F41=TODAY()+2,"Quase expirando",IF(F41=TODAY(),"Expira hoje",IF(F41&lt;=TODAY()-1,"Expirado","Ativado"))))))</f>
        <v>Ativado</v>
      </c>
      <c r="B41" s="469" t="s">
        <v>7</v>
      </c>
      <c r="C41" s="24" t="s">
        <v>1621</v>
      </c>
      <c r="D41" s="326" t="s">
        <v>1623</v>
      </c>
      <c r="E41" s="23">
        <v>46169</v>
      </c>
      <c r="F41" s="23">
        <v>46199</v>
      </c>
      <c r="G41" s="174">
        <f>Precificação[[#This Row],[Valor]]</f>
        <v>364.4</v>
      </c>
      <c r="H41" s="512">
        <f t="shared" ca="1" si="1"/>
        <v>0.39</v>
      </c>
      <c r="I41" s="175">
        <f>Precificação[[#This Row],[Preço anunciado]]</f>
        <v>222.28399999999999</v>
      </c>
      <c r="J41" s="333" t="b">
        <f>EXACT(Descontos[[#This Row],[Nome]],Precificação[[#This Row],[Nome]])</f>
        <v>1</v>
      </c>
      <c r="K41" s="11"/>
      <c r="L41" s="11"/>
      <c r="M41" s="11"/>
      <c r="N41" s="11"/>
      <c r="O41" s="11"/>
    </row>
    <row r="42" spans="1:15" ht="27.75" customHeight="1" x14ac:dyDescent="0.25">
      <c r="A42" s="474" t="str">
        <f t="shared" ca="1" si="10"/>
        <v>Ativado</v>
      </c>
      <c r="B42" s="469" t="s">
        <v>7</v>
      </c>
      <c r="C42" s="24" t="s">
        <v>1618</v>
      </c>
      <c r="D42" s="326" t="s">
        <v>1620</v>
      </c>
      <c r="E42" s="23">
        <v>46169</v>
      </c>
      <c r="F42" s="23">
        <v>46199</v>
      </c>
      <c r="G42" s="174">
        <f>Precificação[[#This Row],[Valor]]</f>
        <v>386.9</v>
      </c>
      <c r="H42" s="512">
        <f t="shared" ca="1" si="1"/>
        <v>0.56000000000000005</v>
      </c>
      <c r="I42" s="175">
        <f>'Precificação de produto'!K42</f>
        <v>170.23599999999996</v>
      </c>
      <c r="J42" s="333" t="b">
        <f>EXACT(Descontos[[#This Row],[Nome]],Precificação[[#This Row],[Nome]])</f>
        <v>1</v>
      </c>
      <c r="K42" s="11"/>
      <c r="L42" s="11"/>
      <c r="M42" s="11"/>
      <c r="N42" s="11"/>
      <c r="O42" s="11"/>
    </row>
    <row r="43" spans="1:15" ht="27.75" customHeight="1" x14ac:dyDescent="0.25">
      <c r="A43" s="474" t="str">
        <f t="shared" ca="1" si="10"/>
        <v>Ativado</v>
      </c>
      <c r="B43" s="469" t="s">
        <v>7</v>
      </c>
      <c r="C43" s="24" t="s">
        <v>1615</v>
      </c>
      <c r="D43" s="326" t="s">
        <v>1617</v>
      </c>
      <c r="E43" s="23">
        <v>46169</v>
      </c>
      <c r="F43" s="23">
        <v>46199</v>
      </c>
      <c r="G43" s="174">
        <f>Precificação[[#This Row],[Valor]]</f>
        <v>350</v>
      </c>
      <c r="H43" s="512">
        <f t="shared" ca="1" si="1"/>
        <v>0.24</v>
      </c>
      <c r="I43" s="175">
        <f>'Precificação de produto'!K43</f>
        <v>266</v>
      </c>
      <c r="J43" s="333" t="b">
        <f>EXACT(Descontos[[#This Row],[Nome]],Precificação[[#This Row],[Nome]])</f>
        <v>1</v>
      </c>
      <c r="K43" s="11"/>
      <c r="L43" s="11"/>
      <c r="M43" s="11"/>
      <c r="N43" s="11"/>
      <c r="O43" s="11"/>
    </row>
    <row r="44" spans="1:15" ht="27.75" customHeight="1" x14ac:dyDescent="0.25">
      <c r="A44" s="474" t="str">
        <f t="shared" ca="1" si="10"/>
        <v>Ativado</v>
      </c>
      <c r="B44" s="469" t="s">
        <v>7</v>
      </c>
      <c r="C44" s="24" t="s">
        <v>1612</v>
      </c>
      <c r="D44" s="326" t="s">
        <v>1614</v>
      </c>
      <c r="E44" s="23">
        <v>46169</v>
      </c>
      <c r="F44" s="23">
        <v>46199</v>
      </c>
      <c r="G44" s="174">
        <f>Precificação[[#This Row],[Valor]]</f>
        <v>289.89999999999998</v>
      </c>
      <c r="H44" s="512">
        <f t="shared" ca="1" si="1"/>
        <v>0.2</v>
      </c>
      <c r="I44" s="175">
        <f>'Precificação de produto'!K44</f>
        <v>231.92</v>
      </c>
      <c r="J44" s="333" t="b">
        <f>EXACT(Descontos[[#This Row],[Nome]],Precificação[[#This Row],[Nome]])</f>
        <v>1</v>
      </c>
      <c r="K44" s="11"/>
      <c r="L44" s="11"/>
      <c r="M44" s="11"/>
      <c r="N44" s="11"/>
      <c r="O44" s="11"/>
    </row>
    <row r="45" spans="1:15" ht="27.75" customHeight="1" x14ac:dyDescent="0.25">
      <c r="A45" s="474" t="str">
        <f t="shared" ca="1" si="10"/>
        <v>Ativado</v>
      </c>
      <c r="B45" s="469" t="s">
        <v>7</v>
      </c>
      <c r="C45" s="24" t="s">
        <v>1582</v>
      </c>
      <c r="D45" s="326" t="s">
        <v>1584</v>
      </c>
      <c r="E45" s="23">
        <v>46169</v>
      </c>
      <c r="F45" s="23">
        <v>46199</v>
      </c>
      <c r="G45" s="174">
        <f>Precificação[[#This Row],[Valor]]</f>
        <v>279</v>
      </c>
      <c r="H45" s="512">
        <f t="shared" ca="1" si="1"/>
        <v>0.24</v>
      </c>
      <c r="I45" s="175">
        <f>'Precificação de produto'!K45</f>
        <v>212.04</v>
      </c>
      <c r="J45" s="333" t="b">
        <f>EXACT(Descontos[[#This Row],[Nome]],Precificação[[#This Row],[Nome]])</f>
        <v>1</v>
      </c>
      <c r="K45" s="11"/>
      <c r="L45" s="11"/>
      <c r="M45" s="11"/>
      <c r="N45" s="11"/>
      <c r="O45" s="11"/>
    </row>
    <row r="46" spans="1:15" ht="27.75" customHeight="1" x14ac:dyDescent="0.25">
      <c r="A46" s="474" t="str">
        <f t="shared" ca="1" si="10"/>
        <v/>
      </c>
      <c r="B46" s="469" t="s">
        <v>7</v>
      </c>
      <c r="C46" s="24" t="s">
        <v>1579</v>
      </c>
      <c r="D46" s="326" t="s">
        <v>1581</v>
      </c>
      <c r="E46" s="23"/>
      <c r="F46" s="23"/>
      <c r="G46" s="174">
        <f>Precificação[[#This Row],[Valor]]</f>
        <v>348.65</v>
      </c>
      <c r="H46" s="512">
        <f t="shared" ca="1" si="1"/>
        <v>0</v>
      </c>
      <c r="I46" s="175">
        <f>'Precificação de produto'!K46</f>
        <v>348.65</v>
      </c>
      <c r="J46" s="333" t="b">
        <f>EXACT(Descontos[[#This Row],[Nome]],Precificação[[#This Row],[Nome]])</f>
        <v>1</v>
      </c>
      <c r="K46" s="11"/>
      <c r="L46" s="11"/>
      <c r="M46" s="11"/>
      <c r="N46" s="11"/>
      <c r="O46" s="11"/>
    </row>
    <row r="47" spans="1:15" ht="27.75" customHeight="1" x14ac:dyDescent="0.25">
      <c r="A47" s="474" t="str">
        <f t="shared" ca="1" si="10"/>
        <v>Ativado</v>
      </c>
      <c r="B47" s="469" t="s">
        <v>7</v>
      </c>
      <c r="C47" s="24" t="s">
        <v>1576</v>
      </c>
      <c r="D47" s="326" t="s">
        <v>1578</v>
      </c>
      <c r="E47" s="23">
        <v>46169</v>
      </c>
      <c r="F47" s="23">
        <v>46199</v>
      </c>
      <c r="G47" s="174">
        <f>Precificação[[#This Row],[Valor]]</f>
        <v>298</v>
      </c>
      <c r="H47" s="512">
        <f t="shared" ca="1" si="1"/>
        <v>0.28999999999999998</v>
      </c>
      <c r="I47" s="175">
        <f>'Precificação de produto'!K47</f>
        <v>211.57999999999998</v>
      </c>
      <c r="J47" s="333" t="b">
        <f>EXACT(Descontos[[#This Row],[Nome]],Precificação[[#This Row],[Nome]])</f>
        <v>1</v>
      </c>
      <c r="K47" s="11"/>
      <c r="L47" s="11"/>
      <c r="M47" s="11"/>
      <c r="N47" s="11"/>
      <c r="O47" s="11"/>
    </row>
    <row r="48" spans="1:15" ht="27.75" customHeight="1" x14ac:dyDescent="0.25">
      <c r="A48" s="474" t="str">
        <f t="shared" ca="1" si="10"/>
        <v>Ativado</v>
      </c>
      <c r="B48" s="469" t="s">
        <v>7</v>
      </c>
      <c r="C48" s="24" t="s">
        <v>1573</v>
      </c>
      <c r="D48" s="326" t="s">
        <v>1575</v>
      </c>
      <c r="E48" s="23">
        <v>46169</v>
      </c>
      <c r="F48" s="23">
        <v>46199</v>
      </c>
      <c r="G48" s="174">
        <f>Precificação[[#This Row],[Valor]]</f>
        <v>406.39</v>
      </c>
      <c r="H48" s="512">
        <f t="shared" ca="1" si="1"/>
        <v>7.0000000000000007E-2</v>
      </c>
      <c r="I48" s="175">
        <f>'Precificação de produto'!K48</f>
        <v>377.94269999999995</v>
      </c>
      <c r="J48" s="333" t="b">
        <f>EXACT(Descontos[[#This Row],[Nome]],Precificação[[#This Row],[Nome]])</f>
        <v>1</v>
      </c>
      <c r="K48" s="11"/>
      <c r="L48" s="11"/>
      <c r="M48" s="11"/>
      <c r="N48" s="11"/>
      <c r="O48" s="11"/>
    </row>
    <row r="49" spans="1:15" ht="27.75" customHeight="1" x14ac:dyDescent="0.25">
      <c r="A49" s="474" t="str">
        <f t="shared" ca="1" si="10"/>
        <v>Ativado</v>
      </c>
      <c r="B49" s="469" t="s">
        <v>7</v>
      </c>
      <c r="C49" s="24" t="s">
        <v>1570</v>
      </c>
      <c r="D49" s="326" t="s">
        <v>1572</v>
      </c>
      <c r="E49" s="23">
        <v>46169</v>
      </c>
      <c r="F49" s="23">
        <v>46199</v>
      </c>
      <c r="G49" s="174">
        <f>Precificação[[#This Row],[Valor]]</f>
        <v>78</v>
      </c>
      <c r="H49" s="512">
        <f t="shared" ca="1" si="1"/>
        <v>0.38</v>
      </c>
      <c r="I49" s="175">
        <f>'Precificação de produto'!K49</f>
        <v>48.36</v>
      </c>
      <c r="J49" s="333" t="b">
        <f>EXACT(Descontos[[#This Row],[Nome]],Precificação[[#This Row],[Nome]])</f>
        <v>1</v>
      </c>
      <c r="K49" s="11"/>
      <c r="L49" s="11"/>
      <c r="M49" s="11"/>
      <c r="N49" s="11"/>
      <c r="O49" s="11"/>
    </row>
    <row r="50" spans="1:15" ht="27.75" customHeight="1" x14ac:dyDescent="0.25">
      <c r="A50" s="474" t="str">
        <f t="shared" ca="1" si="10"/>
        <v>Ativado</v>
      </c>
      <c r="B50" s="469" t="s">
        <v>7</v>
      </c>
      <c r="C50" s="24" t="s">
        <v>1567</v>
      </c>
      <c r="D50" s="326" t="s">
        <v>1569</v>
      </c>
      <c r="E50" s="23">
        <v>46169</v>
      </c>
      <c r="F50" s="23">
        <v>46199</v>
      </c>
      <c r="G50" s="174">
        <f>Precificação[[#This Row],[Valor]]</f>
        <v>74.89</v>
      </c>
      <c r="H50" s="512">
        <f t="shared" ca="1" si="1"/>
        <v>0.09</v>
      </c>
      <c r="I50" s="175">
        <f>'Precificação de produto'!K50</f>
        <v>68.149900000000002</v>
      </c>
      <c r="J50" s="333" t="b">
        <f>EXACT(Descontos[[#This Row],[Nome]],Precificação[[#This Row],[Nome]])</f>
        <v>1</v>
      </c>
      <c r="K50" s="11"/>
      <c r="L50" s="11"/>
      <c r="M50" s="11"/>
      <c r="N50" s="11"/>
      <c r="O50" s="11"/>
    </row>
    <row r="51" spans="1:15" ht="27.75" customHeight="1" x14ac:dyDescent="0.25">
      <c r="A51" s="474" t="str">
        <f t="shared" ca="1" si="10"/>
        <v>Ativado</v>
      </c>
      <c r="B51" s="469" t="s">
        <v>7</v>
      </c>
      <c r="C51" s="24" t="s">
        <v>1565</v>
      </c>
      <c r="D51" s="326" t="s">
        <v>1566</v>
      </c>
      <c r="E51" s="23">
        <v>46169</v>
      </c>
      <c r="F51" s="23">
        <v>46199</v>
      </c>
      <c r="G51" s="174">
        <f>Precificação[[#This Row],[Valor]]</f>
        <v>264</v>
      </c>
      <c r="H51" s="512">
        <f t="shared" ca="1" si="1"/>
        <v>0.56000000000000005</v>
      </c>
      <c r="I51" s="175">
        <f>'Precificação de produto'!K51</f>
        <v>116.15999999999998</v>
      </c>
      <c r="J51" s="333" t="b">
        <f>EXACT(Descontos[[#This Row],[Nome]],Precificação[[#This Row],[Nome]])</f>
        <v>1</v>
      </c>
      <c r="K51" s="11"/>
      <c r="L51" s="11"/>
      <c r="M51" s="11"/>
      <c r="N51" s="11"/>
      <c r="O51" s="11"/>
    </row>
    <row r="52" spans="1:15" ht="27.75" customHeight="1" x14ac:dyDescent="0.25">
      <c r="A52" s="474" t="str">
        <f t="shared" ca="1" si="10"/>
        <v>Ativado</v>
      </c>
      <c r="B52" s="469" t="s">
        <v>7</v>
      </c>
      <c r="C52" s="24" t="s">
        <v>1560</v>
      </c>
      <c r="D52" s="326" t="s">
        <v>1561</v>
      </c>
      <c r="E52" s="23">
        <v>46169</v>
      </c>
      <c r="F52" s="23">
        <v>46199</v>
      </c>
      <c r="G52" s="174">
        <f>Precificação[[#This Row],[Valor]]</f>
        <v>26.4</v>
      </c>
      <c r="H52" s="512">
        <f t="shared" ca="1" si="1"/>
        <v>0.56000000000000005</v>
      </c>
      <c r="I52" s="175">
        <f>'Precificação de produto'!K52</f>
        <v>11.615999999999998</v>
      </c>
      <c r="J52" s="333" t="b">
        <f>EXACT(Descontos[[#This Row],[Nome]],Precificação[[#This Row],[Nome]])</f>
        <v>1</v>
      </c>
      <c r="K52" s="11"/>
      <c r="L52" s="11"/>
      <c r="M52" s="11"/>
      <c r="N52" s="11"/>
      <c r="O52" s="11"/>
    </row>
    <row r="53" spans="1:15" ht="27.75" customHeight="1" x14ac:dyDescent="0.25">
      <c r="A53" s="474" t="str">
        <f t="shared" ca="1" si="10"/>
        <v>Ativado</v>
      </c>
      <c r="B53" s="469" t="s">
        <v>7</v>
      </c>
      <c r="C53" s="24" t="s">
        <v>1562</v>
      </c>
      <c r="D53" s="326" t="s">
        <v>1564</v>
      </c>
      <c r="E53" s="23">
        <v>46169</v>
      </c>
      <c r="F53" s="23">
        <v>46199</v>
      </c>
      <c r="G53" s="174">
        <f>Precificação[[#This Row],[Valor]]</f>
        <v>195.16</v>
      </c>
      <c r="H53" s="512">
        <f t="shared" ca="1" si="1"/>
        <v>0.33</v>
      </c>
      <c r="I53" s="175">
        <f>'Precificação de produto'!K53</f>
        <v>130.75719999999998</v>
      </c>
      <c r="J53" s="333" t="b">
        <f>EXACT(Descontos[[#This Row],[Nome]],Precificação[[#This Row],[Nome]])</f>
        <v>1</v>
      </c>
      <c r="K53" s="11"/>
      <c r="L53" s="11"/>
      <c r="M53" s="11"/>
      <c r="N53" s="11"/>
      <c r="O53" s="11"/>
    </row>
    <row r="54" spans="1:15" ht="27.75" customHeight="1" x14ac:dyDescent="0.25">
      <c r="A54" s="474" t="str">
        <f t="shared" ca="1" si="10"/>
        <v/>
      </c>
      <c r="B54" s="469" t="s">
        <v>7</v>
      </c>
      <c r="C54" s="24" t="s">
        <v>1551</v>
      </c>
      <c r="D54" s="326" t="s">
        <v>1553</v>
      </c>
      <c r="E54" s="23"/>
      <c r="F54" s="23"/>
      <c r="G54" s="174">
        <f>Precificação[[#This Row],[Valor]]</f>
        <v>179.05</v>
      </c>
      <c r="H54" s="512">
        <f t="shared" ca="1" si="1"/>
        <v>0.28000000000000003</v>
      </c>
      <c r="I54" s="175">
        <f>'Precificação de produto'!K54</f>
        <v>128.916</v>
      </c>
      <c r="J54" s="333" t="b">
        <f>EXACT(Descontos[[#This Row],[Nome]],Precificação[[#This Row],[Nome]])</f>
        <v>1</v>
      </c>
      <c r="K54" s="11"/>
      <c r="L54" s="11"/>
      <c r="M54" s="11"/>
      <c r="N54" s="11"/>
      <c r="O54" s="11"/>
    </row>
    <row r="55" spans="1:15" ht="27.75" customHeight="1" x14ac:dyDescent="0.25">
      <c r="A55" s="474" t="str">
        <f t="shared" ca="1" si="10"/>
        <v>Ativado</v>
      </c>
      <c r="B55" s="469" t="s">
        <v>7</v>
      </c>
      <c r="C55" s="24" t="s">
        <v>1548</v>
      </c>
      <c r="D55" s="326" t="s">
        <v>1550</v>
      </c>
      <c r="E55" s="23">
        <v>46169</v>
      </c>
      <c r="F55" s="23">
        <v>46199</v>
      </c>
      <c r="G55" s="174">
        <f>Precificação[[#This Row],[Valor]]</f>
        <v>69.87</v>
      </c>
      <c r="H55" s="512">
        <f t="shared" ca="1" si="1"/>
        <v>0.27</v>
      </c>
      <c r="I55" s="175">
        <f>'Precificação de produto'!K55</f>
        <v>51.005099999999999</v>
      </c>
      <c r="J55" s="333" t="b">
        <f>EXACT(Descontos[[#This Row],[Nome]],Precificação[[#This Row],[Nome]])</f>
        <v>1</v>
      </c>
      <c r="K55" s="11"/>
      <c r="L55" s="11"/>
      <c r="M55" s="11"/>
      <c r="N55" s="11"/>
      <c r="O55" s="11"/>
    </row>
    <row r="56" spans="1:15" ht="27.75" customHeight="1" x14ac:dyDescent="0.25">
      <c r="A56" s="474" t="str">
        <f t="shared" ca="1" si="10"/>
        <v>Ativado</v>
      </c>
      <c r="B56" s="469" t="s">
        <v>7</v>
      </c>
      <c r="C56" s="24" t="s">
        <v>1545</v>
      </c>
      <c r="D56" s="326" t="s">
        <v>1547</v>
      </c>
      <c r="E56" s="23">
        <v>46169</v>
      </c>
      <c r="F56" s="23">
        <v>46199</v>
      </c>
      <c r="G56" s="174">
        <f>Precificação[[#This Row],[Valor]]</f>
        <v>3527.99</v>
      </c>
      <c r="H56" s="512">
        <f t="shared" ca="1" si="1"/>
        <v>0.3</v>
      </c>
      <c r="I56" s="175">
        <f>'Precificação de produto'!K56</f>
        <v>2469.5929999999998</v>
      </c>
      <c r="J56" s="333" t="b">
        <f>EXACT(Descontos[[#This Row],[Nome]],Precificação[[#This Row],[Nome]])</f>
        <v>1</v>
      </c>
      <c r="K56" s="11"/>
      <c r="L56" s="11"/>
      <c r="M56" s="11"/>
      <c r="N56" s="11"/>
      <c r="O56" s="11"/>
    </row>
    <row r="57" spans="1:15" ht="27.75" customHeight="1" x14ac:dyDescent="0.25">
      <c r="A57" s="474" t="str">
        <f t="shared" ca="1" si="10"/>
        <v>Ativado</v>
      </c>
      <c r="B57" s="469" t="s">
        <v>7</v>
      </c>
      <c r="C57" s="24" t="s">
        <v>1520</v>
      </c>
      <c r="D57" s="326" t="s">
        <v>1663</v>
      </c>
      <c r="E57" s="23">
        <v>46169</v>
      </c>
      <c r="F57" s="23">
        <v>46199</v>
      </c>
      <c r="G57" s="174">
        <f>Precificação[[#This Row],[Valor]]</f>
        <v>150</v>
      </c>
      <c r="H57" s="512">
        <f t="shared" ca="1" si="1"/>
        <v>0.2</v>
      </c>
      <c r="I57" s="175">
        <f>'Precificação de produto'!K57</f>
        <v>120</v>
      </c>
      <c r="J57" s="333" t="b">
        <f>EXACT(Descontos[[#This Row],[Nome]],Precificação[[#This Row],[Nome]])</f>
        <v>1</v>
      </c>
      <c r="K57" s="11"/>
      <c r="L57" s="11"/>
      <c r="M57" s="11"/>
      <c r="N57" s="11"/>
      <c r="O57" s="11"/>
    </row>
    <row r="58" spans="1:15" ht="27.75" customHeight="1" x14ac:dyDescent="0.25">
      <c r="A58" s="474" t="str">
        <f t="shared" ca="1" si="10"/>
        <v>Ativado</v>
      </c>
      <c r="B58" s="469" t="s">
        <v>7</v>
      </c>
      <c r="C58" s="24" t="s">
        <v>1468</v>
      </c>
      <c r="D58" s="326" t="s">
        <v>1470</v>
      </c>
      <c r="E58" s="23">
        <v>46169</v>
      </c>
      <c r="F58" s="23">
        <v>46199</v>
      </c>
      <c r="G58" s="174">
        <f>Precificação[[#This Row],[Valor]]</f>
        <v>150</v>
      </c>
      <c r="H58" s="512">
        <f t="shared" ca="1" si="1"/>
        <v>0.2</v>
      </c>
      <c r="I58" s="175">
        <f>'Precificação de produto'!K58</f>
        <v>120</v>
      </c>
      <c r="J58" s="333" t="b">
        <f>EXACT(Descontos[[#This Row],[Nome]],Precificação[[#This Row],[Nome]])</f>
        <v>1</v>
      </c>
      <c r="K58" s="11"/>
      <c r="L58" s="11"/>
      <c r="M58" s="11"/>
      <c r="N58" s="11"/>
      <c r="O58" s="11"/>
    </row>
    <row r="59" spans="1:15" ht="27.75" customHeight="1" x14ac:dyDescent="0.25">
      <c r="A59" s="474" t="str">
        <f t="shared" ca="1" si="10"/>
        <v/>
      </c>
      <c r="B59" s="469" t="s">
        <v>7</v>
      </c>
      <c r="C59" s="502" t="s">
        <v>1440</v>
      </c>
      <c r="D59" s="503" t="s">
        <v>1441</v>
      </c>
      <c r="E59" s="23"/>
      <c r="F59" s="23"/>
      <c r="G59" s="174">
        <f>Precificação[[#This Row],[Valor]]</f>
        <v>870</v>
      </c>
      <c r="H59" s="512">
        <f t="shared" ca="1" si="1"/>
        <v>0.43</v>
      </c>
      <c r="I59" s="175">
        <f>'Precificação de produto'!K59</f>
        <v>495.90000000000003</v>
      </c>
      <c r="J59" s="333" t="b">
        <f>EXACT(Descontos[[#This Row],[Nome]],Precificação[[#This Row],[Nome]])</f>
        <v>1</v>
      </c>
      <c r="K59" s="11"/>
      <c r="L59" s="11"/>
      <c r="M59" s="11"/>
      <c r="N59" s="11"/>
      <c r="O59" s="11"/>
    </row>
    <row r="60" spans="1:15" ht="27.75" customHeight="1" x14ac:dyDescent="0.25">
      <c r="A60" s="474" t="str">
        <f t="shared" ca="1" si="10"/>
        <v/>
      </c>
      <c r="B60" s="469" t="s">
        <v>7</v>
      </c>
      <c r="C60" s="24" t="s">
        <v>1421</v>
      </c>
      <c r="D60" s="326" t="s">
        <v>1423</v>
      </c>
      <c r="E60" s="23"/>
      <c r="F60" s="23"/>
      <c r="G60" s="174">
        <f>Precificação[[#This Row],[Valor]]</f>
        <v>726</v>
      </c>
      <c r="H60" s="512">
        <f t="shared" ca="1" si="1"/>
        <v>0</v>
      </c>
      <c r="I60" s="175">
        <f>'Precificação de produto'!K60</f>
        <v>726</v>
      </c>
      <c r="J60" s="333" t="b">
        <f>EXACT(Descontos[[#This Row],[Nome]],Precificação[[#This Row],[Nome]])</f>
        <v>1</v>
      </c>
      <c r="K60" s="11"/>
      <c r="L60" s="11"/>
      <c r="M60" s="11"/>
      <c r="N60" s="11"/>
      <c r="O60" s="11"/>
    </row>
    <row r="61" spans="1:15" ht="27.75" customHeight="1" x14ac:dyDescent="0.25">
      <c r="A61" s="474" t="str">
        <f t="shared" ca="1" si="10"/>
        <v/>
      </c>
      <c r="B61" s="469" t="s">
        <v>7</v>
      </c>
      <c r="C61" s="24" t="s">
        <v>1394</v>
      </c>
      <c r="D61" s="326" t="s">
        <v>1396</v>
      </c>
      <c r="E61" s="23"/>
      <c r="F61" s="23"/>
      <c r="G61" s="174">
        <f>Precificação[[#This Row],[Valor]]</f>
        <v>860</v>
      </c>
      <c r="H61" s="512">
        <f t="shared" ca="1" si="1"/>
        <v>0.42</v>
      </c>
      <c r="I61" s="175">
        <f>'Precificação de produto'!K61</f>
        <v>498.80000000000007</v>
      </c>
      <c r="J61" s="333" t="b">
        <f>EXACT(Descontos[[#This Row],[Nome]],Precificação[[#This Row],[Nome]])</f>
        <v>1</v>
      </c>
      <c r="K61" s="11"/>
      <c r="L61" s="11"/>
      <c r="M61" s="11"/>
      <c r="N61" s="11"/>
      <c r="O61" s="11"/>
    </row>
    <row r="62" spans="1:15" ht="27.75" customHeight="1" x14ac:dyDescent="0.25">
      <c r="A62" s="474" t="str">
        <f t="shared" ca="1" si="10"/>
        <v>Expira hoje</v>
      </c>
      <c r="B62" s="469" t="s">
        <v>7</v>
      </c>
      <c r="C62" s="24" t="s">
        <v>1370</v>
      </c>
      <c r="D62" s="326" t="s">
        <v>1371</v>
      </c>
      <c r="E62" s="23">
        <v>46140</v>
      </c>
      <c r="F62" s="23">
        <v>46169</v>
      </c>
      <c r="G62" s="174">
        <f>Precificação[[#This Row],[Valor]]</f>
        <v>275.95999999999998</v>
      </c>
      <c r="H62" s="512">
        <f t="shared" ca="1" si="1"/>
        <v>0.3</v>
      </c>
      <c r="I62" s="175">
        <f>'Precificação de produto'!K62</f>
        <v>193.17199999999997</v>
      </c>
      <c r="J62" s="333" t="b">
        <f>EXACT(Descontos[[#This Row],[Nome]],Precificação[[#This Row],[Nome]])</f>
        <v>1</v>
      </c>
      <c r="K62" s="11"/>
      <c r="L62" s="11"/>
      <c r="M62" s="11"/>
      <c r="N62" s="11"/>
      <c r="O62" s="11"/>
    </row>
    <row r="63" spans="1:15" ht="27.75" customHeight="1" x14ac:dyDescent="0.25">
      <c r="A63" s="474" t="str">
        <f t="shared" ca="1" si="10"/>
        <v/>
      </c>
      <c r="B63" s="469" t="s">
        <v>7</v>
      </c>
      <c r="C63" s="24" t="s">
        <v>1359</v>
      </c>
      <c r="D63" s="326" t="s">
        <v>1361</v>
      </c>
      <c r="E63" s="23"/>
      <c r="F63" s="23"/>
      <c r="G63" s="174">
        <f>Precificação[[#This Row],[Valor]]</f>
        <v>275.95999999999998</v>
      </c>
      <c r="H63" s="512">
        <f t="shared" ca="1" si="1"/>
        <v>0.55000000000000004</v>
      </c>
      <c r="I63" s="175">
        <f>'Precificação de produto'!K63</f>
        <v>124.18199999999997</v>
      </c>
      <c r="J63" s="333" t="b">
        <f>EXACT(Descontos[[#This Row],[Nome]],Precificação[[#This Row],[Nome]])</f>
        <v>1</v>
      </c>
      <c r="K63" s="11"/>
      <c r="L63" s="11"/>
      <c r="M63" s="11"/>
      <c r="N63" s="11"/>
      <c r="O63" s="11"/>
    </row>
    <row r="64" spans="1:15" ht="27.75" customHeight="1" x14ac:dyDescent="0.25">
      <c r="A64" s="474" t="str">
        <f t="shared" ca="1" si="10"/>
        <v>Expira hoje</v>
      </c>
      <c r="B64" s="469" t="s">
        <v>7</v>
      </c>
      <c r="C64" s="24" t="s">
        <v>1349</v>
      </c>
      <c r="D64" s="326" t="s">
        <v>1351</v>
      </c>
      <c r="E64" s="23">
        <v>46140</v>
      </c>
      <c r="F64" s="23">
        <v>46169</v>
      </c>
      <c r="G64" s="174">
        <f>Precificação[[#This Row],[Valor]]</f>
        <v>1850</v>
      </c>
      <c r="H64" s="512">
        <f t="shared" ca="1" si="1"/>
        <v>0.19</v>
      </c>
      <c r="I64" s="175">
        <f>'Precificação de produto'!K64</f>
        <v>1498.5</v>
      </c>
      <c r="J64" s="333" t="b">
        <f>EXACT(Descontos[[#This Row],[Nome]],Precificação[[#This Row],[Nome]])</f>
        <v>1</v>
      </c>
      <c r="K64" s="11"/>
      <c r="L64" s="11"/>
      <c r="M64" s="11"/>
      <c r="N64" s="11"/>
      <c r="O64" s="11"/>
    </row>
    <row r="65" spans="1:15" ht="27.75" customHeight="1" x14ac:dyDescent="0.25">
      <c r="A65" s="474" t="str">
        <f t="shared" ca="1" si="10"/>
        <v/>
      </c>
      <c r="B65" s="469" t="s">
        <v>7</v>
      </c>
      <c r="C65" s="24" t="s">
        <v>1330</v>
      </c>
      <c r="D65" s="326" t="s">
        <v>284</v>
      </c>
      <c r="E65" s="23"/>
      <c r="F65" s="23"/>
      <c r="G65" s="174">
        <f>Precificação[[#This Row],[Valor]]</f>
        <v>449.99</v>
      </c>
      <c r="H65" s="512">
        <f t="shared" ca="1" si="1"/>
        <v>0</v>
      </c>
      <c r="I65" s="175">
        <f>'Precificação de produto'!K65</f>
        <v>449.99</v>
      </c>
      <c r="J65" s="333" t="b">
        <f>EXACT(Descontos[[#This Row],[Nome]],Precificação[[#This Row],[Nome]])</f>
        <v>1</v>
      </c>
      <c r="K65" s="11"/>
      <c r="L65" s="11"/>
      <c r="M65" s="11"/>
      <c r="N65" s="11"/>
      <c r="O65" s="11"/>
    </row>
    <row r="66" spans="1:15" ht="27.75" customHeight="1" x14ac:dyDescent="0.25">
      <c r="A66" s="474" t="str">
        <f t="shared" ca="1" si="10"/>
        <v/>
      </c>
      <c r="B66" s="469" t="s">
        <v>7</v>
      </c>
      <c r="C66" s="305" t="s">
        <v>1291</v>
      </c>
      <c r="D66" s="305" t="s">
        <v>1292</v>
      </c>
      <c r="E66" s="23"/>
      <c r="F66" s="23"/>
      <c r="G66" s="174">
        <f>Precificação[[#This Row],[Valor]]</f>
        <v>550</v>
      </c>
      <c r="H66" s="512">
        <f t="shared" ca="1" si="1"/>
        <v>0</v>
      </c>
      <c r="I66" s="175">
        <f>'Precificação de produto'!K66</f>
        <v>550</v>
      </c>
      <c r="J66" s="333" t="b">
        <f>EXACT(Descontos[[#This Row],[Nome]],Precificação[[#This Row],[Nome]])</f>
        <v>1</v>
      </c>
      <c r="K66" s="11"/>
      <c r="L66" s="11"/>
      <c r="M66" s="11"/>
      <c r="N66" s="11"/>
      <c r="O66" s="11"/>
    </row>
    <row r="67" spans="1:15" ht="27.75" customHeight="1" x14ac:dyDescent="0.25">
      <c r="A67" s="474" t="str">
        <f t="shared" ca="1" si="10"/>
        <v/>
      </c>
      <c r="B67" s="469" t="s">
        <v>7</v>
      </c>
      <c r="C67" s="305" t="s">
        <v>1667</v>
      </c>
      <c r="D67" s="305" t="s">
        <v>1666</v>
      </c>
      <c r="E67" s="23"/>
      <c r="F67" s="23"/>
      <c r="G67" s="174">
        <f>Precificação[[#This Row],[Valor]]</f>
        <v>184.3</v>
      </c>
      <c r="H67" s="512">
        <f t="shared" ref="H67:H130" ca="1" si="11">HYPERLINK("#'Precificação de produto'!J" &amp; ROW(), INDIRECT("'Precificação de produto'!J" &amp; ROW()))</f>
        <v>0</v>
      </c>
      <c r="I67" s="175">
        <f>'Precificação de produto'!K67</f>
        <v>184.3</v>
      </c>
      <c r="J67" s="333" t="b">
        <f>EXACT(Descontos[[#This Row],[Nome]],Precificação[[#This Row],[Nome]])</f>
        <v>1</v>
      </c>
      <c r="K67" s="11"/>
      <c r="L67" s="11"/>
      <c r="M67" s="11"/>
      <c r="N67" s="11"/>
      <c r="O67" s="11"/>
    </row>
    <row r="68" spans="1:15" ht="27.75" customHeight="1" x14ac:dyDescent="0.25">
      <c r="A68" s="474" t="str">
        <f t="shared" ca="1" si="10"/>
        <v/>
      </c>
      <c r="B68" s="469" t="s">
        <v>7</v>
      </c>
      <c r="C68" s="305" t="s">
        <v>1232</v>
      </c>
      <c r="D68" s="305" t="s">
        <v>1233</v>
      </c>
      <c r="E68" s="23"/>
      <c r="F68" s="23"/>
      <c r="G68" s="174">
        <f>Precificação[[#This Row],[Valor]]</f>
        <v>2500</v>
      </c>
      <c r="H68" s="512">
        <f t="shared" ca="1" si="11"/>
        <v>0.4</v>
      </c>
      <c r="I68" s="175">
        <f>'Precificação de produto'!K68</f>
        <v>1500</v>
      </c>
      <c r="J68" s="333" t="b">
        <f>EXACT(Descontos[[#This Row],[Nome]],Precificação[[#This Row],[Nome]])</f>
        <v>1</v>
      </c>
      <c r="K68" s="11"/>
      <c r="L68" s="11"/>
      <c r="M68" s="11"/>
      <c r="N68" s="11"/>
      <c r="O68" s="11"/>
    </row>
    <row r="69" spans="1:15" ht="27.75" customHeight="1" x14ac:dyDescent="0.25">
      <c r="A69" s="474" t="str">
        <f t="shared" ca="1" si="10"/>
        <v>Expira hoje</v>
      </c>
      <c r="B69" s="469" t="s">
        <v>7</v>
      </c>
      <c r="C69" s="305" t="s">
        <v>1227</v>
      </c>
      <c r="D69" s="305" t="s">
        <v>1229</v>
      </c>
      <c r="E69" s="23">
        <v>46140</v>
      </c>
      <c r="F69" s="23">
        <v>46169</v>
      </c>
      <c r="G69" s="174">
        <f>Precificação[[#This Row],[Valor]]</f>
        <v>600</v>
      </c>
      <c r="H69" s="512">
        <f t="shared" ca="1" si="11"/>
        <v>0.12</v>
      </c>
      <c r="I69" s="175">
        <f>'Precificação de produto'!K69</f>
        <v>528</v>
      </c>
      <c r="J69" s="333" t="b">
        <f>EXACT(Descontos[[#This Row],[Nome]],Precificação[[#This Row],[Nome]])</f>
        <v>1</v>
      </c>
      <c r="K69" s="11"/>
      <c r="L69" s="11"/>
      <c r="M69" s="11"/>
      <c r="N69" s="11"/>
      <c r="O69" s="11"/>
    </row>
    <row r="70" spans="1:15" ht="27.75" customHeight="1" x14ac:dyDescent="0.25">
      <c r="A70" s="474" t="str">
        <f t="shared" ref="A70:A100" ca="1" si="12">IF(E70="","",IF(E70&gt;TODAY(),"Programado",IF(F70=TODAY()+1,"Expira amanhã",IF(F70=TODAY()+2,"Quase expirando",IF(F70=TODAY(),"Expira hoje",IF(F70&lt;=TODAY()-1,"Expirado","Ativado"))))))</f>
        <v>Expira hoje</v>
      </c>
      <c r="B70" s="480" t="s">
        <v>7</v>
      </c>
      <c r="C70" s="305" t="s">
        <v>8</v>
      </c>
      <c r="D70" s="305" t="s">
        <v>9</v>
      </c>
      <c r="E70" s="23">
        <v>46140</v>
      </c>
      <c r="F70" s="23">
        <v>46169</v>
      </c>
      <c r="G70" s="174">
        <f>Precificação[[#This Row],[Valor]]</f>
        <v>2400</v>
      </c>
      <c r="H70" s="512">
        <f t="shared" ca="1" si="11"/>
        <v>0.05</v>
      </c>
      <c r="I70" s="175">
        <f>'Precificação de produto'!K70</f>
        <v>2280</v>
      </c>
      <c r="J70" s="333" t="b">
        <f>EXACT(Descontos[[#This Row],[Nome]],Precificação[[#This Row],[Nome]])</f>
        <v>1</v>
      </c>
      <c r="K70" s="11"/>
      <c r="L70" s="11"/>
      <c r="M70" s="11"/>
      <c r="N70" s="11"/>
      <c r="O70" s="11"/>
    </row>
    <row r="71" spans="1:15" ht="27.75" customHeight="1" x14ac:dyDescent="0.25">
      <c r="A71" s="474" t="str">
        <f t="shared" ca="1" si="12"/>
        <v>Expira hoje</v>
      </c>
      <c r="B71" s="480" t="s">
        <v>7</v>
      </c>
      <c r="C71" s="305" t="s">
        <v>47</v>
      </c>
      <c r="D71" s="305" t="s">
        <v>48</v>
      </c>
      <c r="E71" s="23">
        <v>46140</v>
      </c>
      <c r="F71" s="23">
        <v>46169</v>
      </c>
      <c r="G71" s="174">
        <f>Precificação[[#This Row],[Valor]]</f>
        <v>34</v>
      </c>
      <c r="H71" s="512">
        <f t="shared" ca="1" si="11"/>
        <v>0.24</v>
      </c>
      <c r="I71" s="175">
        <f>'Precificação de produto'!K71</f>
        <v>25.84</v>
      </c>
      <c r="J71" s="333" t="b">
        <f>EXACT(Descontos[[#This Row],[Nome]],Precificação[[#This Row],[Nome]])</f>
        <v>1</v>
      </c>
      <c r="K71" s="6"/>
      <c r="L71" s="6"/>
      <c r="M71" s="6"/>
      <c r="N71" s="6"/>
      <c r="O71" s="6"/>
    </row>
    <row r="72" spans="1:15" ht="27.75" customHeight="1" x14ac:dyDescent="0.25">
      <c r="A72" s="474" t="str">
        <f t="shared" ca="1" si="12"/>
        <v>Expira hoje</v>
      </c>
      <c r="B72" s="480" t="s">
        <v>7</v>
      </c>
      <c r="C72" s="305" t="s">
        <v>108</v>
      </c>
      <c r="D72" s="305" t="s">
        <v>109</v>
      </c>
      <c r="E72" s="23">
        <v>46140</v>
      </c>
      <c r="F72" s="23">
        <v>46169</v>
      </c>
      <c r="G72" s="174">
        <f>Precificação[[#This Row],[Valor]]</f>
        <v>320</v>
      </c>
      <c r="H72" s="512">
        <f t="shared" ca="1" si="11"/>
        <v>0.15</v>
      </c>
      <c r="I72" s="175">
        <f>'Precificação de produto'!K72</f>
        <v>272</v>
      </c>
      <c r="J72" s="333" t="b">
        <f>EXACT(Descontos[[#This Row],[Nome]],Precificação[[#This Row],[Nome]])</f>
        <v>1</v>
      </c>
      <c r="K72" s="6"/>
      <c r="L72" s="6"/>
      <c r="M72" s="6"/>
      <c r="N72" s="6"/>
      <c r="O72" s="6"/>
    </row>
    <row r="73" spans="1:15" ht="27.75" customHeight="1" x14ac:dyDescent="0.25">
      <c r="A73" s="474" t="str">
        <f t="shared" ca="1" si="12"/>
        <v/>
      </c>
      <c r="B73" s="480" t="s">
        <v>7</v>
      </c>
      <c r="C73" s="305" t="s">
        <v>130</v>
      </c>
      <c r="D73" s="305" t="s">
        <v>131</v>
      </c>
      <c r="E73" s="23"/>
      <c r="F73" s="23"/>
      <c r="G73" s="174">
        <f>Precificação[[#This Row],[Valor]]</f>
        <v>240</v>
      </c>
      <c r="H73" s="512">
        <f t="shared" ca="1" si="11"/>
        <v>0.23</v>
      </c>
      <c r="I73" s="175">
        <f>'Precificação de produto'!K73</f>
        <v>184.8</v>
      </c>
      <c r="J73" s="333" t="b">
        <f>EXACT(Descontos[[#This Row],[Nome]],Precificação[[#This Row],[Nome]])</f>
        <v>1</v>
      </c>
      <c r="K73" s="6"/>
      <c r="L73" s="6"/>
      <c r="M73" s="6"/>
      <c r="N73" s="6"/>
      <c r="O73" s="6"/>
    </row>
    <row r="74" spans="1:15" ht="27.75" customHeight="1" x14ac:dyDescent="0.25">
      <c r="A74" s="474" t="str">
        <f t="shared" ca="1" si="12"/>
        <v>Expira hoje</v>
      </c>
      <c r="B74" s="480" t="s">
        <v>7</v>
      </c>
      <c r="C74" s="305" t="s">
        <v>30</v>
      </c>
      <c r="D74" s="305" t="s">
        <v>31</v>
      </c>
      <c r="E74" s="23">
        <v>46140</v>
      </c>
      <c r="F74" s="23">
        <v>46169</v>
      </c>
      <c r="G74" s="174">
        <f>Precificação[[#This Row],[Valor]]</f>
        <v>63.88</v>
      </c>
      <c r="H74" s="512">
        <f t="shared" ca="1" si="11"/>
        <v>0.1</v>
      </c>
      <c r="I74" s="175">
        <f>'Precificação de produto'!K74</f>
        <v>57.492000000000004</v>
      </c>
      <c r="J74" s="333" t="b">
        <f>EXACT(Descontos[[#This Row],[Nome]],Precificação[[#This Row],[Nome]])</f>
        <v>1</v>
      </c>
      <c r="K74" s="6"/>
      <c r="L74" s="6"/>
      <c r="M74" s="6"/>
      <c r="N74" s="6"/>
      <c r="O74" s="6"/>
    </row>
    <row r="75" spans="1:15" ht="27.75" customHeight="1" x14ac:dyDescent="0.25">
      <c r="A75" s="474" t="str">
        <f t="shared" ca="1" si="12"/>
        <v>Expira hoje</v>
      </c>
      <c r="B75" s="480" t="s">
        <v>7</v>
      </c>
      <c r="C75" s="305" t="s">
        <v>120</v>
      </c>
      <c r="D75" s="305" t="s">
        <v>121</v>
      </c>
      <c r="E75" s="23">
        <v>46140</v>
      </c>
      <c r="F75" s="23">
        <v>46169</v>
      </c>
      <c r="G75" s="174">
        <f>Precificação[[#This Row],[Valor]]</f>
        <v>599.99</v>
      </c>
      <c r="H75" s="512">
        <f t="shared" ca="1" si="11"/>
        <v>0.16</v>
      </c>
      <c r="I75" s="175">
        <f>'Precificação de produto'!K75</f>
        <v>503.99160000000001</v>
      </c>
      <c r="J75" s="333" t="b">
        <f>EXACT(Descontos[[#This Row],[Nome]],Precificação[[#This Row],[Nome]])</f>
        <v>1</v>
      </c>
      <c r="K75" s="6"/>
      <c r="L75" s="6"/>
      <c r="M75" s="6"/>
      <c r="N75" s="6"/>
      <c r="O75" s="6"/>
    </row>
    <row r="76" spans="1:15" ht="27.75" customHeight="1" x14ac:dyDescent="0.25">
      <c r="A76" s="474" t="str">
        <f t="shared" ca="1" si="12"/>
        <v>Expira hoje</v>
      </c>
      <c r="B76" s="480" t="s">
        <v>7</v>
      </c>
      <c r="C76" s="305" t="s">
        <v>107</v>
      </c>
      <c r="D76" s="305" t="s">
        <v>106</v>
      </c>
      <c r="E76" s="23">
        <v>46140</v>
      </c>
      <c r="F76" s="23">
        <v>46169</v>
      </c>
      <c r="G76" s="174">
        <f>Precificação[[#This Row],[Valor]]</f>
        <v>525</v>
      </c>
      <c r="H76" s="512">
        <f t="shared" ca="1" si="11"/>
        <v>0.21</v>
      </c>
      <c r="I76" s="175">
        <f>'Precificação de produto'!K76</f>
        <v>414.75</v>
      </c>
      <c r="J76" s="333" t="b">
        <f>EXACT(Descontos[[#This Row],[Nome]],Precificação[[#This Row],[Nome]])</f>
        <v>1</v>
      </c>
      <c r="K76" s="6"/>
      <c r="L76" s="6"/>
      <c r="M76" s="6"/>
      <c r="N76" s="6"/>
      <c r="O76" s="6"/>
    </row>
    <row r="77" spans="1:15" ht="27.75" customHeight="1" x14ac:dyDescent="0.25">
      <c r="A77" s="474" t="str">
        <f t="shared" ca="1" si="12"/>
        <v/>
      </c>
      <c r="B77" s="472" t="str">
        <f>'Precificação de produto'!A103</f>
        <v>Link</v>
      </c>
      <c r="C77" s="305" t="s">
        <v>162</v>
      </c>
      <c r="D77" s="305" t="s">
        <v>163</v>
      </c>
      <c r="E77" s="23"/>
      <c r="F77" s="23"/>
      <c r="G77" s="174">
        <f>Precificação[[#This Row],[Valor]]</f>
        <v>410</v>
      </c>
      <c r="H77" s="512">
        <f t="shared" ca="1" si="11"/>
        <v>0</v>
      </c>
      <c r="I77" s="175">
        <f>'Precificação de produto'!K77</f>
        <v>410</v>
      </c>
      <c r="J77" s="333" t="b">
        <f>EXACT(Descontos[[#This Row],[Nome]],Precificação[[#This Row],[Nome]])</f>
        <v>1</v>
      </c>
      <c r="K77" s="6"/>
      <c r="L77" s="6"/>
      <c r="M77" s="6"/>
      <c r="N77" s="6"/>
      <c r="O77" s="6"/>
    </row>
    <row r="78" spans="1:15" ht="27.75" customHeight="1" x14ac:dyDescent="0.25">
      <c r="A78" s="474" t="str">
        <f t="shared" ca="1" si="12"/>
        <v/>
      </c>
      <c r="B78" s="480" t="s">
        <v>7</v>
      </c>
      <c r="C78" s="305" t="s">
        <v>26</v>
      </c>
      <c r="D78" s="305" t="s">
        <v>1479</v>
      </c>
      <c r="E78" s="23"/>
      <c r="F78" s="23"/>
      <c r="G78" s="174">
        <f>Precificação[[#This Row],[Valor]]</f>
        <v>67</v>
      </c>
      <c r="H78" s="512">
        <f t="shared" ca="1" si="11"/>
        <v>0.1</v>
      </c>
      <c r="I78" s="175">
        <f>'Precificação de produto'!K78</f>
        <v>60.300000000000004</v>
      </c>
      <c r="J78" s="333" t="b">
        <f>EXACT(Descontos[[#This Row],[Nome]],Precificação[[#This Row],[Nome]])</f>
        <v>1</v>
      </c>
      <c r="K78" s="6"/>
      <c r="L78" s="6"/>
      <c r="M78" s="6"/>
      <c r="N78" s="6"/>
      <c r="O78" s="6"/>
    </row>
    <row r="79" spans="1:15" ht="27.75" customHeight="1" x14ac:dyDescent="0.25">
      <c r="A79" s="474" t="str">
        <f t="shared" ca="1" si="12"/>
        <v>Expira hoje</v>
      </c>
      <c r="B79" s="480" t="s">
        <v>7</v>
      </c>
      <c r="C79" s="305" t="s">
        <v>38</v>
      </c>
      <c r="D79" s="305" t="s">
        <v>39</v>
      </c>
      <c r="E79" s="23">
        <v>46140</v>
      </c>
      <c r="F79" s="23">
        <v>46169</v>
      </c>
      <c r="G79" s="174">
        <f>Precificação[[#This Row],[Valor]]</f>
        <v>82</v>
      </c>
      <c r="H79" s="512">
        <f t="shared" ca="1" si="11"/>
        <v>0.38</v>
      </c>
      <c r="I79" s="175">
        <f>'Precificação de produto'!K79</f>
        <v>50.839999999999996</v>
      </c>
      <c r="J79" s="333" t="b">
        <f>EXACT(Descontos[[#This Row],[Nome]],Precificação[[#This Row],[Nome]])</f>
        <v>1</v>
      </c>
      <c r="K79" s="6"/>
      <c r="L79" s="6"/>
      <c r="M79" s="6"/>
      <c r="N79" s="6"/>
      <c r="O79" s="6"/>
    </row>
    <row r="80" spans="1:15" ht="27.75" customHeight="1" x14ac:dyDescent="0.25">
      <c r="A80" s="474" t="str">
        <f t="shared" ca="1" si="12"/>
        <v>Expira hoje</v>
      </c>
      <c r="B80" s="480" t="s">
        <v>7</v>
      </c>
      <c r="C80" s="305" t="s">
        <v>22</v>
      </c>
      <c r="D80" s="305" t="s">
        <v>23</v>
      </c>
      <c r="E80" s="23">
        <v>46140</v>
      </c>
      <c r="F80" s="23">
        <v>46169</v>
      </c>
      <c r="G80" s="174">
        <f>Precificação[[#This Row],[Valor]]</f>
        <v>70</v>
      </c>
      <c r="H80" s="512">
        <f t="shared" ca="1" si="11"/>
        <v>0.14000000000000001</v>
      </c>
      <c r="I80" s="175">
        <f>'Precificação de produto'!K80</f>
        <v>60.199999999999996</v>
      </c>
      <c r="J80" s="333" t="b">
        <f>EXACT(Descontos[[#This Row],[Nome]],Precificação[[#This Row],[Nome]])</f>
        <v>1</v>
      </c>
      <c r="K80" s="6"/>
      <c r="L80" s="6"/>
      <c r="M80" s="6"/>
      <c r="N80" s="6"/>
      <c r="O80" s="6"/>
    </row>
    <row r="81" spans="1:15" ht="27.75" customHeight="1" x14ac:dyDescent="0.25">
      <c r="A81" s="474" t="str">
        <f t="shared" ca="1" si="12"/>
        <v>Expira hoje</v>
      </c>
      <c r="B81" s="480" t="s">
        <v>7</v>
      </c>
      <c r="C81" s="305" t="s">
        <v>86</v>
      </c>
      <c r="D81" s="305" t="s">
        <v>559</v>
      </c>
      <c r="E81" s="23">
        <v>46140</v>
      </c>
      <c r="F81" s="23">
        <v>46169</v>
      </c>
      <c r="G81" s="174">
        <f>Precificação[[#This Row],[Valor]]</f>
        <v>280</v>
      </c>
      <c r="H81" s="512">
        <f t="shared" ca="1" si="11"/>
        <v>0.1</v>
      </c>
      <c r="I81" s="175">
        <f>'Precificação de produto'!K81</f>
        <v>252</v>
      </c>
      <c r="J81" s="333" t="b">
        <f>EXACT(Descontos[[#This Row],[Nome]],Precificação[[#This Row],[Nome]])</f>
        <v>1</v>
      </c>
      <c r="K81" s="6"/>
      <c r="L81" s="6"/>
      <c r="M81" s="6"/>
      <c r="N81" s="6"/>
      <c r="O81" s="6"/>
    </row>
    <row r="82" spans="1:15" ht="27.75" customHeight="1" x14ac:dyDescent="0.25">
      <c r="A82" s="474" t="str">
        <f t="shared" ca="1" si="12"/>
        <v>Expira hoje</v>
      </c>
      <c r="B82" s="480" t="s">
        <v>7</v>
      </c>
      <c r="C82" s="305" t="s">
        <v>157</v>
      </c>
      <c r="D82" s="23" t="s">
        <v>156</v>
      </c>
      <c r="E82" s="23">
        <v>46140</v>
      </c>
      <c r="F82" s="23">
        <v>46169</v>
      </c>
      <c r="G82" s="174">
        <f>Precificação[[#This Row],[Valor]]</f>
        <v>620</v>
      </c>
      <c r="H82" s="512">
        <f t="shared" ca="1" si="11"/>
        <v>0.18</v>
      </c>
      <c r="I82" s="175">
        <f>'Precificação de produto'!K82</f>
        <v>508.40000000000003</v>
      </c>
      <c r="J82" s="333" t="b">
        <f>EXACT(Descontos[[#This Row],[Nome]],Precificação[[#This Row],[Nome]])</f>
        <v>1</v>
      </c>
      <c r="K82" s="6"/>
      <c r="L82" s="6"/>
      <c r="M82" s="6"/>
      <c r="N82" s="6"/>
      <c r="O82" s="6"/>
    </row>
    <row r="83" spans="1:15" ht="27.75" customHeight="1" x14ac:dyDescent="0.25">
      <c r="A83" s="474" t="str">
        <f t="shared" ca="1" si="12"/>
        <v/>
      </c>
      <c r="B83" s="480" t="s">
        <v>7</v>
      </c>
      <c r="C83" s="305" t="s">
        <v>42</v>
      </c>
      <c r="D83" s="305" t="s">
        <v>43</v>
      </c>
      <c r="E83" s="23"/>
      <c r="F83" s="23"/>
      <c r="G83" s="174">
        <f>Precificação[[#This Row],[Valor]]</f>
        <v>2568</v>
      </c>
      <c r="H83" s="512">
        <f t="shared" ca="1" si="11"/>
        <v>0.05</v>
      </c>
      <c r="I83" s="175">
        <f>'Precificação de produto'!K83</f>
        <v>2439.6</v>
      </c>
      <c r="J83" s="333" t="b">
        <f>EXACT(Descontos[[#This Row],[Nome]],Precificação[[#This Row],[Nome]])</f>
        <v>1</v>
      </c>
      <c r="K83" s="6"/>
      <c r="L83" s="6"/>
      <c r="M83" s="6"/>
      <c r="N83" s="6"/>
      <c r="O83" s="6"/>
    </row>
    <row r="84" spans="1:15" ht="27.75" customHeight="1" x14ac:dyDescent="0.25">
      <c r="A84" s="474" t="str">
        <f t="shared" ca="1" si="12"/>
        <v/>
      </c>
      <c r="B84" s="480" t="s">
        <v>7</v>
      </c>
      <c r="C84" s="305" t="s">
        <v>68</v>
      </c>
      <c r="D84" s="305" t="s">
        <v>69</v>
      </c>
      <c r="E84" s="23"/>
      <c r="F84" s="23"/>
      <c r="G84" s="174">
        <f>Precificação[[#This Row],[Valor]]</f>
        <v>325</v>
      </c>
      <c r="H84" s="512">
        <f t="shared" ca="1" si="11"/>
        <v>0.14000000000000001</v>
      </c>
      <c r="I84" s="175">
        <f>'Precificação de produto'!K84</f>
        <v>279.5</v>
      </c>
      <c r="J84" s="333" t="b">
        <f>EXACT(Descontos[[#This Row],[Nome]],Precificação[[#This Row],[Nome]])</f>
        <v>1</v>
      </c>
      <c r="K84" s="6"/>
      <c r="L84" s="6"/>
      <c r="M84" s="6"/>
      <c r="N84" s="6"/>
      <c r="O84" s="6"/>
    </row>
    <row r="85" spans="1:15" ht="27.75" customHeight="1" x14ac:dyDescent="0.25">
      <c r="A85" s="474" t="str">
        <f t="shared" ca="1" si="12"/>
        <v/>
      </c>
      <c r="B85" s="472" t="str">
        <f>'Precificação de produto'!A118</f>
        <v>Link</v>
      </c>
      <c r="C85" s="305" t="s">
        <v>161</v>
      </c>
      <c r="D85" s="305" t="s">
        <v>160</v>
      </c>
      <c r="E85" s="23"/>
      <c r="F85" s="23"/>
      <c r="G85" s="174">
        <f>Precificação[[#This Row],[Valor]]</f>
        <v>189.99</v>
      </c>
      <c r="H85" s="512">
        <f t="shared" ca="1" si="11"/>
        <v>0</v>
      </c>
      <c r="I85" s="175">
        <f>'Precificação de produto'!K85</f>
        <v>189.99</v>
      </c>
      <c r="J85" s="333" t="b">
        <f>EXACT(Descontos[[#This Row],[Nome]],Precificação[[#This Row],[Nome]])</f>
        <v>1</v>
      </c>
      <c r="K85" s="6"/>
      <c r="L85" s="6"/>
      <c r="M85" s="6"/>
      <c r="N85" s="6"/>
      <c r="O85" s="6"/>
    </row>
    <row r="86" spans="1:15" ht="27.75" customHeight="1" x14ac:dyDescent="0.25">
      <c r="A86" s="474" t="str">
        <f t="shared" ca="1" si="12"/>
        <v>Expira hoje</v>
      </c>
      <c r="B86" s="480" t="s">
        <v>7</v>
      </c>
      <c r="C86" s="305" t="s">
        <v>70</v>
      </c>
      <c r="D86" s="305" t="s">
        <v>71</v>
      </c>
      <c r="E86" s="23">
        <v>46140</v>
      </c>
      <c r="F86" s="23">
        <v>46169</v>
      </c>
      <c r="G86" s="174">
        <f>Precificação[[#This Row],[Valor]]</f>
        <v>230</v>
      </c>
      <c r="H86" s="512">
        <f t="shared" ca="1" si="11"/>
        <v>0.09</v>
      </c>
      <c r="I86" s="175">
        <f>'Precificação de produto'!K86</f>
        <v>209.3</v>
      </c>
      <c r="J86" s="333" t="b">
        <f>EXACT(Descontos[[#This Row],[Nome]],Precificação[[#This Row],[Nome]])</f>
        <v>1</v>
      </c>
      <c r="K86" s="6"/>
      <c r="L86" s="6"/>
      <c r="M86" s="6"/>
      <c r="N86" s="6"/>
      <c r="O86" s="6"/>
    </row>
    <row r="87" spans="1:15" ht="27.75" customHeight="1" x14ac:dyDescent="0.25">
      <c r="A87" s="474" t="str">
        <f t="shared" ca="1" si="12"/>
        <v/>
      </c>
      <c r="B87" s="480" t="s">
        <v>7</v>
      </c>
      <c r="C87" s="305" t="s">
        <v>134</v>
      </c>
      <c r="D87" s="305" t="s">
        <v>135</v>
      </c>
      <c r="E87" s="23"/>
      <c r="F87" s="23"/>
      <c r="G87" s="174">
        <f>Precificação[[#This Row],[Valor]]</f>
        <v>389.99</v>
      </c>
      <c r="H87" s="512">
        <f t="shared" ca="1" si="11"/>
        <v>0</v>
      </c>
      <c r="I87" s="175">
        <f>'Precificação de produto'!K87</f>
        <v>389.99</v>
      </c>
      <c r="J87" s="333" t="b">
        <f>EXACT(Descontos[[#This Row],[Nome]],Precificação[[#This Row],[Nome]])</f>
        <v>1</v>
      </c>
      <c r="K87" s="6"/>
      <c r="L87" s="6"/>
      <c r="M87" s="6"/>
      <c r="N87" s="6"/>
      <c r="O87" s="6"/>
    </row>
    <row r="88" spans="1:15" ht="27.75" customHeight="1" x14ac:dyDescent="0.25">
      <c r="A88" s="474" t="str">
        <f t="shared" ca="1" si="12"/>
        <v>Expira hoje</v>
      </c>
      <c r="B88" s="480" t="s">
        <v>7</v>
      </c>
      <c r="C88" s="305" t="s">
        <v>45</v>
      </c>
      <c r="D88" s="305" t="s">
        <v>46</v>
      </c>
      <c r="E88" s="23">
        <v>46140</v>
      </c>
      <c r="F88" s="23">
        <v>46169</v>
      </c>
      <c r="G88" s="174">
        <f>Precificação[[#This Row],[Valor]]</f>
        <v>49.99</v>
      </c>
      <c r="H88" s="512">
        <f t="shared" ca="1" si="11"/>
        <v>0.16</v>
      </c>
      <c r="I88" s="175">
        <f>'Precificação de produto'!K88</f>
        <v>41.991599999999998</v>
      </c>
      <c r="J88" s="333" t="b">
        <f>EXACT(Descontos[[#This Row],[Nome]],Precificação[[#This Row],[Nome]])</f>
        <v>1</v>
      </c>
      <c r="K88" s="6"/>
      <c r="L88" s="6"/>
      <c r="M88" s="6"/>
      <c r="N88" s="6"/>
      <c r="O88" s="6"/>
    </row>
    <row r="89" spans="1:15" ht="27.75" customHeight="1" x14ac:dyDescent="0.25">
      <c r="A89" s="474" t="str">
        <f t="shared" ca="1" si="12"/>
        <v>Expira hoje</v>
      </c>
      <c r="B89" s="480" t="s">
        <v>7</v>
      </c>
      <c r="C89" s="305" t="s">
        <v>66</v>
      </c>
      <c r="D89" s="305" t="s">
        <v>67</v>
      </c>
      <c r="E89" s="23">
        <v>46140</v>
      </c>
      <c r="F89" s="23">
        <v>46169</v>
      </c>
      <c r="G89" s="174">
        <f>Precificação[[#This Row],[Valor]]</f>
        <v>60</v>
      </c>
      <c r="H89" s="512">
        <f t="shared" ca="1" si="11"/>
        <v>0.15</v>
      </c>
      <c r="I89" s="175">
        <f>'Precificação de produto'!K89</f>
        <v>51</v>
      </c>
      <c r="J89" s="333" t="b">
        <f>EXACT(Descontos[[#This Row],[Nome]],Precificação[[#This Row],[Nome]])</f>
        <v>1</v>
      </c>
      <c r="K89" s="6"/>
      <c r="L89" s="6"/>
      <c r="M89" s="6"/>
      <c r="N89" s="6"/>
      <c r="O89" s="6"/>
    </row>
    <row r="90" spans="1:15" ht="27.75" customHeight="1" x14ac:dyDescent="0.25">
      <c r="A90" s="474" t="str">
        <f t="shared" ca="1" si="12"/>
        <v>Expira hoje</v>
      </c>
      <c r="B90" s="480" t="s">
        <v>7</v>
      </c>
      <c r="C90" s="305" t="s">
        <v>24</v>
      </c>
      <c r="D90" s="305" t="s">
        <v>25</v>
      </c>
      <c r="E90" s="23">
        <v>46140</v>
      </c>
      <c r="F90" s="23">
        <v>46169</v>
      </c>
      <c r="G90" s="174">
        <f>Precificação[[#This Row],[Valor]]</f>
        <v>45</v>
      </c>
      <c r="H90" s="512">
        <f t="shared" ca="1" si="11"/>
        <v>0.08</v>
      </c>
      <c r="I90" s="175">
        <f>'Precificação de produto'!K90</f>
        <v>41.4</v>
      </c>
      <c r="J90" s="333" t="b">
        <f>EXACT(Descontos[[#This Row],[Nome]],Precificação[[#This Row],[Nome]])</f>
        <v>1</v>
      </c>
      <c r="K90" s="6"/>
      <c r="L90" s="6"/>
      <c r="M90" s="6"/>
      <c r="N90" s="6"/>
      <c r="O90" s="6"/>
    </row>
    <row r="91" spans="1:15" ht="27.75" customHeight="1" x14ac:dyDescent="0.25">
      <c r="A91" s="474" t="str">
        <f t="shared" ca="1" si="12"/>
        <v>Expira hoje</v>
      </c>
      <c r="B91" s="480" t="s">
        <v>7</v>
      </c>
      <c r="C91" s="305" t="s">
        <v>56</v>
      </c>
      <c r="D91" s="305" t="s">
        <v>55</v>
      </c>
      <c r="E91" s="23">
        <v>46140</v>
      </c>
      <c r="F91" s="23">
        <v>46169</v>
      </c>
      <c r="G91" s="174">
        <f>Precificação[[#This Row],[Valor]]</f>
        <v>1700</v>
      </c>
      <c r="H91" s="512">
        <f t="shared" ca="1" si="11"/>
        <v>7.0000000000000007E-2</v>
      </c>
      <c r="I91" s="175">
        <f>'Precificação de produto'!K91</f>
        <v>1581</v>
      </c>
      <c r="J91" s="333" t="b">
        <f>EXACT(Descontos[[#This Row],[Nome]],Precificação[[#This Row],[Nome]])</f>
        <v>1</v>
      </c>
      <c r="K91" s="6"/>
      <c r="L91" s="6"/>
      <c r="M91" s="6"/>
      <c r="N91" s="6"/>
      <c r="O91" s="6"/>
    </row>
    <row r="92" spans="1:15" ht="27.75" customHeight="1" x14ac:dyDescent="0.25">
      <c r="A92" s="474" t="str">
        <f t="shared" ca="1" si="12"/>
        <v/>
      </c>
      <c r="B92" s="480" t="s">
        <v>7</v>
      </c>
      <c r="C92" s="305" t="s">
        <v>80</v>
      </c>
      <c r="D92" s="305" t="s">
        <v>81</v>
      </c>
      <c r="E92" s="23"/>
      <c r="F92" s="23"/>
      <c r="G92" s="174">
        <f>Precificação[[#This Row],[Valor]]</f>
        <v>449.99</v>
      </c>
      <c r="H92" s="512">
        <f t="shared" ca="1" si="11"/>
        <v>0</v>
      </c>
      <c r="I92" s="175">
        <f>'Precificação de produto'!K92</f>
        <v>449.99</v>
      </c>
      <c r="J92" s="333" t="b">
        <f>EXACT(Descontos[[#This Row],[Nome]],Precificação[[#This Row],[Nome]])</f>
        <v>1</v>
      </c>
      <c r="K92" s="6"/>
      <c r="L92" s="6"/>
      <c r="M92" s="6"/>
      <c r="N92" s="6"/>
      <c r="O92" s="6"/>
    </row>
    <row r="93" spans="1:15" ht="27.75" customHeight="1" x14ac:dyDescent="0.25">
      <c r="A93" s="474" t="str">
        <f t="shared" ca="1" si="12"/>
        <v/>
      </c>
      <c r="B93" s="480" t="s">
        <v>7</v>
      </c>
      <c r="C93" s="305" t="s">
        <v>78</v>
      </c>
      <c r="D93" s="305" t="s">
        <v>79</v>
      </c>
      <c r="E93" s="23"/>
      <c r="F93" s="23"/>
      <c r="G93" s="174">
        <f>Precificação[[#This Row],[Valor]]</f>
        <v>1579.99</v>
      </c>
      <c r="H93" s="512">
        <f t="shared" ca="1" si="11"/>
        <v>0</v>
      </c>
      <c r="I93" s="175">
        <f>'Precificação de produto'!K93</f>
        <v>1579.99</v>
      </c>
      <c r="J93" s="333" t="b">
        <f>EXACT(Descontos[[#This Row],[Nome]],Precificação[[#This Row],[Nome]])</f>
        <v>1</v>
      </c>
      <c r="K93" s="6"/>
      <c r="L93" s="6"/>
      <c r="M93" s="6"/>
      <c r="N93" s="6"/>
      <c r="O93" s="6"/>
    </row>
    <row r="94" spans="1:15" ht="27.75" customHeight="1" x14ac:dyDescent="0.25">
      <c r="A94" s="474" t="str">
        <f t="shared" ca="1" si="12"/>
        <v/>
      </c>
      <c r="B94" s="480" t="s">
        <v>7</v>
      </c>
      <c r="C94" s="305" t="s">
        <v>101</v>
      </c>
      <c r="D94" s="305" t="s">
        <v>102</v>
      </c>
      <c r="E94" s="23"/>
      <c r="F94" s="23"/>
      <c r="G94" s="174">
        <f>Precificação[[#This Row],[Valor]]</f>
        <v>42</v>
      </c>
      <c r="H94" s="512">
        <f t="shared" ca="1" si="11"/>
        <v>0</v>
      </c>
      <c r="I94" s="175">
        <f>'Precificação de produto'!K94</f>
        <v>42</v>
      </c>
      <c r="J94" s="333" t="b">
        <f>EXACT(Descontos[[#This Row],[Nome]],Precificação[[#This Row],[Nome]])</f>
        <v>1</v>
      </c>
      <c r="K94" s="6"/>
      <c r="L94" s="6"/>
      <c r="M94" s="6"/>
      <c r="N94" s="6"/>
      <c r="O94" s="6"/>
    </row>
    <row r="95" spans="1:15" ht="27.75" customHeight="1" x14ac:dyDescent="0.25">
      <c r="A95" s="474" t="str">
        <f t="shared" ca="1" si="12"/>
        <v/>
      </c>
      <c r="B95" s="472" t="s">
        <v>7</v>
      </c>
      <c r="C95" s="305" t="s">
        <v>89</v>
      </c>
      <c r="D95" s="305" t="s">
        <v>90</v>
      </c>
      <c r="E95" s="23"/>
      <c r="F95" s="23"/>
      <c r="G95" s="174">
        <f>Precificação[[#This Row],[Valor]]</f>
        <v>436.99</v>
      </c>
      <c r="H95" s="512">
        <f t="shared" ca="1" si="11"/>
        <v>0</v>
      </c>
      <c r="I95" s="175">
        <f>'Precificação de produto'!K95</f>
        <v>436.99</v>
      </c>
      <c r="J95" s="333" t="b">
        <f>EXACT(Descontos[[#This Row],[Nome]],Precificação[[#This Row],[Nome]])</f>
        <v>1</v>
      </c>
      <c r="K95" s="6"/>
      <c r="L95" s="6"/>
      <c r="M95" s="6"/>
      <c r="N95" s="6"/>
      <c r="O95" s="6"/>
    </row>
    <row r="96" spans="1:15" ht="27.75" customHeight="1" x14ac:dyDescent="0.25">
      <c r="A96" s="474" t="str">
        <f t="shared" ca="1" si="12"/>
        <v/>
      </c>
      <c r="B96" s="480" t="s">
        <v>7</v>
      </c>
      <c r="C96" s="305" t="s">
        <v>82</v>
      </c>
      <c r="D96" s="305" t="s">
        <v>83</v>
      </c>
      <c r="E96" s="23"/>
      <c r="F96" s="23"/>
      <c r="G96" s="174">
        <f>Precificação[[#This Row],[Valor]]</f>
        <v>1240</v>
      </c>
      <c r="H96" s="512">
        <f t="shared" ca="1" si="11"/>
        <v>0</v>
      </c>
      <c r="I96" s="175">
        <f>'Precificação de produto'!K96</f>
        <v>1240</v>
      </c>
      <c r="J96" s="333" t="b">
        <f>EXACT(Descontos[[#This Row],[Nome]],Precificação[[#This Row],[Nome]])</f>
        <v>1</v>
      </c>
      <c r="K96" s="6"/>
      <c r="L96" s="6"/>
      <c r="M96" s="6"/>
      <c r="N96" s="6"/>
      <c r="O96" s="6"/>
    </row>
    <row r="97" spans="1:15" ht="27.75" customHeight="1" x14ac:dyDescent="0.25">
      <c r="A97" s="474" t="str">
        <f t="shared" ca="1" si="12"/>
        <v>Expira hoje</v>
      </c>
      <c r="B97" s="480" t="s">
        <v>7</v>
      </c>
      <c r="C97" s="305" t="s">
        <v>14</v>
      </c>
      <c r="D97" s="305" t="s">
        <v>15</v>
      </c>
      <c r="E97" s="23">
        <v>46140</v>
      </c>
      <c r="F97" s="23">
        <v>46169</v>
      </c>
      <c r="G97" s="174">
        <f>Precificação[[#This Row],[Valor]]</f>
        <v>155</v>
      </c>
      <c r="H97" s="512">
        <f t="shared" ca="1" si="11"/>
        <v>0.4</v>
      </c>
      <c r="I97" s="175">
        <f>'Precificação de produto'!K97</f>
        <v>93</v>
      </c>
      <c r="J97" s="333" t="b">
        <f>EXACT(Descontos[[#This Row],[Nome]],Precificação[[#This Row],[Nome]])</f>
        <v>1</v>
      </c>
      <c r="K97" s="6"/>
      <c r="L97" s="6"/>
      <c r="M97" s="6"/>
      <c r="N97" s="6"/>
      <c r="O97" s="6"/>
    </row>
    <row r="98" spans="1:15" ht="27.75" customHeight="1" x14ac:dyDescent="0.25">
      <c r="A98" s="474" t="str">
        <f t="shared" ca="1" si="12"/>
        <v/>
      </c>
      <c r="B98" s="480" t="s">
        <v>7</v>
      </c>
      <c r="C98" s="305" t="s">
        <v>77</v>
      </c>
      <c r="D98" s="305" t="s">
        <v>281</v>
      </c>
      <c r="E98" s="23"/>
      <c r="F98" s="23"/>
      <c r="G98" s="174">
        <f>Precificação[[#This Row],[Valor]]</f>
        <v>420</v>
      </c>
      <c r="H98" s="512">
        <f t="shared" ca="1" si="11"/>
        <v>0</v>
      </c>
      <c r="I98" s="175">
        <f>'Precificação de produto'!K98</f>
        <v>420</v>
      </c>
      <c r="J98" s="333" t="b">
        <f>EXACT(Descontos[[#This Row],[Nome]],Precificação[[#This Row],[Nome]])</f>
        <v>1</v>
      </c>
      <c r="K98" s="6"/>
      <c r="L98" s="6"/>
      <c r="M98" s="6"/>
      <c r="N98" s="6"/>
      <c r="O98" s="6"/>
    </row>
    <row r="99" spans="1:15" ht="27.75" customHeight="1" x14ac:dyDescent="0.25">
      <c r="A99" s="474" t="str">
        <f t="shared" ca="1" si="12"/>
        <v/>
      </c>
      <c r="B99" s="480" t="s">
        <v>7</v>
      </c>
      <c r="C99" s="305" t="s">
        <v>126</v>
      </c>
      <c r="D99" s="305" t="s">
        <v>127</v>
      </c>
      <c r="E99" s="23"/>
      <c r="F99" s="23"/>
      <c r="G99" s="174">
        <f>Precificação[[#This Row],[Valor]]</f>
        <v>420</v>
      </c>
      <c r="H99" s="512">
        <f t="shared" ca="1" si="11"/>
        <v>0</v>
      </c>
      <c r="I99" s="175">
        <f>'Precificação de produto'!K99</f>
        <v>420</v>
      </c>
      <c r="J99" s="333" t="b">
        <f>EXACT(Descontos[[#This Row],[Nome]],Precificação[[#This Row],[Nome]])</f>
        <v>1</v>
      </c>
      <c r="K99" s="6"/>
      <c r="L99" s="6"/>
      <c r="M99" s="6"/>
      <c r="N99" s="6"/>
      <c r="O99" s="6"/>
    </row>
    <row r="100" spans="1:15" ht="27.75" customHeight="1" x14ac:dyDescent="0.25">
      <c r="A100" s="474" t="str">
        <f t="shared" ca="1" si="12"/>
        <v/>
      </c>
      <c r="B100" s="480" t="s">
        <v>7</v>
      </c>
      <c r="C100" s="305" t="s">
        <v>128</v>
      </c>
      <c r="D100" s="305" t="s">
        <v>129</v>
      </c>
      <c r="E100" s="23"/>
      <c r="F100" s="23"/>
      <c r="G100" s="174">
        <f>Precificação[[#This Row],[Valor]]</f>
        <v>440</v>
      </c>
      <c r="H100" s="512">
        <f t="shared" ca="1" si="11"/>
        <v>0</v>
      </c>
      <c r="I100" s="175">
        <f>'Precificação de produto'!K100</f>
        <v>440</v>
      </c>
      <c r="J100" s="333" t="b">
        <f>EXACT(Descontos[[#This Row],[Nome]],Precificação[[#This Row],[Nome]])</f>
        <v>1</v>
      </c>
      <c r="K100" s="6"/>
      <c r="L100" s="6"/>
      <c r="M100" s="6"/>
      <c r="N100" s="6"/>
      <c r="O100" s="6"/>
    </row>
    <row r="101" spans="1:15" ht="27.75" customHeight="1" x14ac:dyDescent="0.25">
      <c r="A101" s="474" t="str">
        <f t="shared" ref="A101:A129" ca="1" si="13">IF(E101="","",IF(E101&gt;TODAY(),"Programado",IF(F101=TODAY()+1,"Expira amanhã",IF(F101=TODAY()+2,"Quase expirando",IF(F101=TODAY(),"Expira hoje",IF(F101&lt;=TODAY()-1,"Expirado","Ativado"))))))</f>
        <v>Expira hoje</v>
      </c>
      <c r="B101" s="480" t="s">
        <v>7</v>
      </c>
      <c r="C101" s="305" t="s">
        <v>32</v>
      </c>
      <c r="D101" s="305" t="s">
        <v>33</v>
      </c>
      <c r="E101" s="23">
        <v>46140</v>
      </c>
      <c r="F101" s="23">
        <v>46169</v>
      </c>
      <c r="G101" s="174">
        <f>Precificação[[#This Row],[Valor]]</f>
        <v>109.99</v>
      </c>
      <c r="H101" s="512">
        <f t="shared" ca="1" si="11"/>
        <v>0.1</v>
      </c>
      <c r="I101" s="175">
        <f>'Precificação de produto'!K101</f>
        <v>98.991</v>
      </c>
      <c r="J101" s="333" t="b">
        <f>EXACT(Descontos[[#This Row],[Nome]],Precificação[[#This Row],[Nome]])</f>
        <v>1</v>
      </c>
      <c r="K101" s="6"/>
      <c r="L101" s="6"/>
      <c r="M101" s="6"/>
      <c r="N101" s="6"/>
      <c r="O101" s="6"/>
    </row>
    <row r="102" spans="1:15" ht="27.75" customHeight="1" x14ac:dyDescent="0.25">
      <c r="A102" s="474" t="str">
        <f t="shared" ca="1" si="13"/>
        <v>Expira hoje</v>
      </c>
      <c r="B102" s="480" t="s">
        <v>7</v>
      </c>
      <c r="C102" s="305" t="s">
        <v>248</v>
      </c>
      <c r="D102" s="305" t="s">
        <v>44</v>
      </c>
      <c r="E102" s="23">
        <v>46140</v>
      </c>
      <c r="F102" s="23">
        <v>46169</v>
      </c>
      <c r="G102" s="174">
        <f>Precificação[[#This Row],[Valor]]</f>
        <v>50</v>
      </c>
      <c r="H102" s="512">
        <f t="shared" ca="1" si="11"/>
        <v>0.21</v>
      </c>
      <c r="I102" s="175">
        <f>'Precificação de produto'!K102</f>
        <v>39.5</v>
      </c>
      <c r="J102" s="333" t="b">
        <f>EXACT(Descontos[[#This Row],[Nome]],Precificação[[#This Row],[Nome]])</f>
        <v>1</v>
      </c>
      <c r="K102" s="6"/>
      <c r="L102" s="6"/>
      <c r="M102" s="6"/>
      <c r="N102" s="6"/>
      <c r="O102" s="6"/>
    </row>
    <row r="103" spans="1:15" ht="27.75" customHeight="1" x14ac:dyDescent="0.25">
      <c r="A103" s="474" t="str">
        <f t="shared" ca="1" si="13"/>
        <v>Expira hoje</v>
      </c>
      <c r="B103" s="480" t="s">
        <v>7</v>
      </c>
      <c r="C103" s="305" t="s">
        <v>36</v>
      </c>
      <c r="D103" s="305" t="s">
        <v>37</v>
      </c>
      <c r="E103" s="23">
        <v>46140</v>
      </c>
      <c r="F103" s="23">
        <v>46169</v>
      </c>
      <c r="G103" s="174">
        <f>Precificação[[#This Row],[Valor]]</f>
        <v>5200</v>
      </c>
      <c r="H103" s="512">
        <f t="shared" ca="1" si="11"/>
        <v>0.3</v>
      </c>
      <c r="I103" s="175">
        <f>'Precificação de produto'!K103</f>
        <v>3639.9999999999995</v>
      </c>
      <c r="J103" s="333" t="b">
        <f>EXACT(Descontos[[#This Row],[Nome]],Precificação[[#This Row],[Nome]])</f>
        <v>1</v>
      </c>
      <c r="K103" s="6"/>
      <c r="L103" s="6"/>
      <c r="M103" s="6"/>
      <c r="N103" s="6"/>
      <c r="O103" s="6"/>
    </row>
    <row r="104" spans="1:15" ht="27.75" customHeight="1" x14ac:dyDescent="0.25">
      <c r="A104" s="474" t="str">
        <f t="shared" ca="1" si="13"/>
        <v/>
      </c>
      <c r="B104" s="480" t="s">
        <v>7</v>
      </c>
      <c r="C104" s="305" t="s">
        <v>138</v>
      </c>
      <c r="D104" s="305" t="s">
        <v>139</v>
      </c>
      <c r="E104" s="23"/>
      <c r="F104" s="23"/>
      <c r="G104" s="174">
        <f>Precificação[[#This Row],[Valor]]</f>
        <v>279.8</v>
      </c>
      <c r="H104" s="512">
        <f t="shared" ca="1" si="11"/>
        <v>0</v>
      </c>
      <c r="I104" s="175">
        <f>'Precificação de produto'!K104</f>
        <v>279.8</v>
      </c>
      <c r="J104" s="333" t="b">
        <f>EXACT(Descontos[[#This Row],[Nome]],Precificação[[#This Row],[Nome]])</f>
        <v>1</v>
      </c>
      <c r="K104" s="6"/>
      <c r="L104" s="6"/>
      <c r="M104" s="6"/>
      <c r="N104" s="6"/>
      <c r="O104" s="6"/>
    </row>
    <row r="105" spans="1:15" ht="27.75" customHeight="1" x14ac:dyDescent="0.25">
      <c r="A105" s="474" t="str">
        <f t="shared" ca="1" si="13"/>
        <v>Expira hoje</v>
      </c>
      <c r="B105" s="480" t="s">
        <v>7</v>
      </c>
      <c r="C105" s="305" t="s">
        <v>154</v>
      </c>
      <c r="D105" s="305" t="s">
        <v>155</v>
      </c>
      <c r="E105" s="23">
        <v>46140</v>
      </c>
      <c r="F105" s="23">
        <v>46169</v>
      </c>
      <c r="G105" s="174">
        <f>Precificação[[#This Row],[Valor]]</f>
        <v>359.99</v>
      </c>
      <c r="H105" s="512">
        <f t="shared" ca="1" si="11"/>
        <v>0.35</v>
      </c>
      <c r="I105" s="175">
        <f>'Precificação de produto'!K105</f>
        <v>233.99350000000001</v>
      </c>
      <c r="J105" s="333" t="b">
        <f>EXACT(Descontos[[#This Row],[Nome]],Precificação[[#This Row],[Nome]])</f>
        <v>1</v>
      </c>
      <c r="K105" s="6"/>
      <c r="L105" s="6"/>
      <c r="M105" s="6"/>
      <c r="N105" s="6"/>
      <c r="O105" s="6"/>
    </row>
    <row r="106" spans="1:15" ht="27.75" customHeight="1" x14ac:dyDescent="0.25">
      <c r="A106" s="474" t="str">
        <f t="shared" ca="1" si="13"/>
        <v/>
      </c>
      <c r="B106" s="480" t="s">
        <v>7</v>
      </c>
      <c r="C106" s="305" t="s">
        <v>150</v>
      </c>
      <c r="D106" s="305" t="s">
        <v>151</v>
      </c>
      <c r="E106" s="23"/>
      <c r="F106" s="23"/>
      <c r="G106" s="174">
        <f>Precificação[[#This Row],[Valor]]</f>
        <v>35</v>
      </c>
      <c r="H106" s="512">
        <f t="shared" ca="1" si="11"/>
        <v>0</v>
      </c>
      <c r="I106" s="175">
        <f>'Precificação de produto'!K106</f>
        <v>35</v>
      </c>
      <c r="J106" s="333" t="b">
        <f>EXACT(Descontos[[#This Row],[Nome]],Precificação[[#This Row],[Nome]])</f>
        <v>1</v>
      </c>
      <c r="K106" s="6"/>
      <c r="L106" s="6"/>
      <c r="M106" s="6"/>
      <c r="N106" s="6"/>
      <c r="O106" s="6"/>
    </row>
    <row r="107" spans="1:15" ht="27.75" customHeight="1" x14ac:dyDescent="0.25">
      <c r="A107" s="474" t="str">
        <f t="shared" ca="1" si="13"/>
        <v/>
      </c>
      <c r="B107" s="480" t="s">
        <v>7</v>
      </c>
      <c r="C107" s="305" t="s">
        <v>153</v>
      </c>
      <c r="D107" s="305" t="s">
        <v>152</v>
      </c>
      <c r="E107" s="23"/>
      <c r="F107" s="23"/>
      <c r="G107" s="174">
        <f>Precificação[[#This Row],[Valor]]</f>
        <v>1865.6</v>
      </c>
      <c r="H107" s="512">
        <f t="shared" ca="1" si="11"/>
        <v>0</v>
      </c>
      <c r="I107" s="175">
        <f>'Precificação de produto'!K107</f>
        <v>1865.6</v>
      </c>
      <c r="J107" s="333" t="b">
        <f>EXACT(Descontos[[#This Row],[Nome]],Precificação[[#This Row],[Nome]])</f>
        <v>1</v>
      </c>
      <c r="K107" s="8"/>
      <c r="L107" s="8"/>
      <c r="M107" s="8"/>
      <c r="N107" s="8"/>
      <c r="O107" s="8"/>
    </row>
    <row r="108" spans="1:15" ht="27.75" customHeight="1" x14ac:dyDescent="0.25">
      <c r="A108" s="474" t="str">
        <f t="shared" ca="1" si="13"/>
        <v>Expira hoje</v>
      </c>
      <c r="B108" s="480" t="s">
        <v>7</v>
      </c>
      <c r="C108" s="305" t="s">
        <v>10</v>
      </c>
      <c r="D108" s="305" t="s">
        <v>11</v>
      </c>
      <c r="E108" s="23">
        <v>46140</v>
      </c>
      <c r="F108" s="23">
        <v>46169</v>
      </c>
      <c r="G108" s="174">
        <f>Precificação[[#This Row],[Valor]]</f>
        <v>250</v>
      </c>
      <c r="H108" s="512">
        <f t="shared" ca="1" si="11"/>
        <v>0.09</v>
      </c>
      <c r="I108" s="175">
        <f>'Precificação de produto'!K108</f>
        <v>227.5</v>
      </c>
      <c r="J108" s="333" t="b">
        <f>EXACT(Descontos[[#This Row],[Nome]],Precificação[[#This Row],[Nome]])</f>
        <v>1</v>
      </c>
      <c r="K108" s="10"/>
      <c r="L108" s="7"/>
      <c r="M108" s="6"/>
      <c r="N108" s="6"/>
      <c r="O108" s="6"/>
    </row>
    <row r="109" spans="1:15" ht="27.75" customHeight="1" x14ac:dyDescent="0.25">
      <c r="A109" s="474" t="str">
        <f t="shared" ca="1" si="13"/>
        <v>Ativado</v>
      </c>
      <c r="B109" s="480" t="s">
        <v>7</v>
      </c>
      <c r="C109" s="305" t="s">
        <v>34</v>
      </c>
      <c r="D109" s="305" t="s">
        <v>35</v>
      </c>
      <c r="E109" s="23">
        <v>46153</v>
      </c>
      <c r="F109" s="23">
        <v>46183</v>
      </c>
      <c r="G109" s="174">
        <f>Precificação[[#This Row],[Valor]]</f>
        <v>250</v>
      </c>
      <c r="H109" s="512">
        <f t="shared" ca="1" si="11"/>
        <v>0.09</v>
      </c>
      <c r="I109" s="175">
        <f>'Precificação de produto'!K109</f>
        <v>227.5</v>
      </c>
      <c r="J109" s="333" t="b">
        <f>EXACT(Descontos[[#This Row],[Nome]],Precificação[[#This Row],[Nome]])</f>
        <v>1</v>
      </c>
      <c r="K109" s="10"/>
      <c r="L109" s="7"/>
      <c r="M109" s="6"/>
      <c r="N109" s="6"/>
      <c r="O109" s="6"/>
    </row>
    <row r="110" spans="1:15" ht="27.75" customHeight="1" x14ac:dyDescent="0.25">
      <c r="A110" s="474" t="str">
        <f t="shared" ca="1" si="13"/>
        <v/>
      </c>
      <c r="B110" s="480" t="s">
        <v>7</v>
      </c>
      <c r="C110" s="305" t="s">
        <v>110</v>
      </c>
      <c r="D110" s="305" t="s">
        <v>111</v>
      </c>
      <c r="E110" s="23"/>
      <c r="F110" s="23"/>
      <c r="G110" s="174">
        <f>Precificação[[#This Row],[Valor]]</f>
        <v>1079.99</v>
      </c>
      <c r="H110" s="512">
        <f t="shared" ca="1" si="11"/>
        <v>0</v>
      </c>
      <c r="I110" s="175">
        <f>'Precificação de produto'!K110</f>
        <v>1079.99</v>
      </c>
      <c r="J110" s="333" t="b">
        <f>EXACT(Descontos[[#This Row],[Nome]],Precificação[[#This Row],[Nome]])</f>
        <v>1</v>
      </c>
      <c r="K110" s="10"/>
      <c r="L110" s="7"/>
      <c r="M110" s="6"/>
      <c r="N110" s="6"/>
      <c r="O110" s="6"/>
    </row>
    <row r="111" spans="1:15" ht="27.75" customHeight="1" thickBot="1" x14ac:dyDescent="0.3">
      <c r="A111" s="474" t="str">
        <f t="shared" ca="1" si="13"/>
        <v/>
      </c>
      <c r="B111" s="480" t="s">
        <v>7</v>
      </c>
      <c r="C111" s="305" t="s">
        <v>20</v>
      </c>
      <c r="D111" s="305" t="s">
        <v>21</v>
      </c>
      <c r="E111" s="23"/>
      <c r="F111" s="23"/>
      <c r="G111" s="174">
        <f>Precificação[[#This Row],[Valor]]</f>
        <v>391.5</v>
      </c>
      <c r="H111" s="512">
        <f t="shared" ca="1" si="11"/>
        <v>0</v>
      </c>
      <c r="I111" s="175">
        <f>'Precificação de produto'!K111</f>
        <v>391.5</v>
      </c>
      <c r="J111" s="333" t="b">
        <f>EXACT(Descontos[[#This Row],[Nome]],Precificação[[#This Row],[Nome]])</f>
        <v>1</v>
      </c>
      <c r="K111" s="15"/>
      <c r="L111" s="16"/>
      <c r="M111" s="8"/>
      <c r="N111" s="8"/>
      <c r="O111" s="8"/>
    </row>
    <row r="112" spans="1:15" ht="27.75" customHeight="1" thickBot="1" x14ac:dyDescent="0.3">
      <c r="A112" s="474" t="str">
        <f t="shared" ca="1" si="13"/>
        <v/>
      </c>
      <c r="B112" s="480" t="s">
        <v>7</v>
      </c>
      <c r="C112" s="305" t="s">
        <v>74</v>
      </c>
      <c r="D112" s="305" t="s">
        <v>560</v>
      </c>
      <c r="E112" s="23"/>
      <c r="F112" s="23"/>
      <c r="G112" s="174">
        <f>Precificação[[#This Row],[Valor]]</f>
        <v>29</v>
      </c>
      <c r="H112" s="512">
        <f t="shared" ca="1" si="11"/>
        <v>0</v>
      </c>
      <c r="I112" s="175">
        <f>'Precificação de produto'!K112</f>
        <v>29</v>
      </c>
      <c r="J112" s="333" t="b">
        <f>EXACT(Descontos[[#This Row],[Nome]],Precificação[[#This Row],[Nome]])</f>
        <v>1</v>
      </c>
      <c r="K112" s="17"/>
      <c r="L112" s="18"/>
      <c r="M112" s="19"/>
      <c r="N112" s="19"/>
      <c r="O112" s="19"/>
    </row>
    <row r="113" spans="1:15" ht="27.75" customHeight="1" thickBot="1" x14ac:dyDescent="0.3">
      <c r="A113" s="474" t="str">
        <f t="shared" ca="1" si="13"/>
        <v/>
      </c>
      <c r="B113" s="480" t="s">
        <v>7</v>
      </c>
      <c r="C113" s="305" t="s">
        <v>76</v>
      </c>
      <c r="D113" s="305" t="s">
        <v>75</v>
      </c>
      <c r="E113" s="23"/>
      <c r="F113" s="23"/>
      <c r="G113" s="174">
        <f>Precificação[[#This Row],[Valor]]</f>
        <v>62</v>
      </c>
      <c r="H113" s="512">
        <f t="shared" ca="1" si="11"/>
        <v>0</v>
      </c>
      <c r="I113" s="175">
        <f>'Precificação de produto'!K113</f>
        <v>62</v>
      </c>
      <c r="J113" s="333" t="b">
        <f>EXACT(Descontos[[#This Row],[Nome]],Precificação[[#This Row],[Nome]])</f>
        <v>1</v>
      </c>
      <c r="K113" s="17"/>
      <c r="L113" s="18"/>
      <c r="M113" s="19"/>
      <c r="N113" s="19"/>
      <c r="O113" s="19"/>
    </row>
    <row r="114" spans="1:15" ht="27.75" customHeight="1" thickBot="1" x14ac:dyDescent="0.3">
      <c r="A114" s="474" t="str">
        <f t="shared" ca="1" si="13"/>
        <v>Ativado</v>
      </c>
      <c r="B114" s="480" t="s">
        <v>7</v>
      </c>
      <c r="C114" s="305" t="s">
        <v>112</v>
      </c>
      <c r="D114" s="305" t="s">
        <v>113</v>
      </c>
      <c r="E114" s="23">
        <v>46169</v>
      </c>
      <c r="F114" s="23">
        <v>46199</v>
      </c>
      <c r="G114" s="174">
        <f>Precificação[[#This Row],[Valor]]</f>
        <v>86</v>
      </c>
      <c r="H114" s="512">
        <f t="shared" ca="1" si="11"/>
        <v>0.05</v>
      </c>
      <c r="I114" s="175">
        <f>'Precificação de produto'!K114</f>
        <v>81.7</v>
      </c>
      <c r="J114" s="333" t="b">
        <f>EXACT(Descontos[[#This Row],[Nome]],Precificação[[#This Row],[Nome]])</f>
        <v>1</v>
      </c>
      <c r="K114" s="17"/>
      <c r="L114" s="18"/>
      <c r="M114" s="19"/>
      <c r="N114" s="19"/>
      <c r="O114" s="19"/>
    </row>
    <row r="115" spans="1:15" ht="27.75" customHeight="1" thickBot="1" x14ac:dyDescent="0.3">
      <c r="A115" s="474" t="str">
        <f t="shared" ca="1" si="13"/>
        <v/>
      </c>
      <c r="B115" s="480" t="s">
        <v>7</v>
      </c>
      <c r="C115" s="305" t="s">
        <v>72</v>
      </c>
      <c r="D115" s="305" t="s">
        <v>73</v>
      </c>
      <c r="E115" s="23"/>
      <c r="F115" s="23"/>
      <c r="G115" s="174">
        <f>Precificação[[#This Row],[Valor]]</f>
        <v>50.99</v>
      </c>
      <c r="H115" s="512">
        <f t="shared" ca="1" si="11"/>
        <v>0</v>
      </c>
      <c r="I115" s="175">
        <f>'Precificação de produto'!K115</f>
        <v>50.99</v>
      </c>
      <c r="J115" s="333" t="b">
        <f>EXACT(Descontos[[#This Row],[Nome]],Precificação[[#This Row],[Nome]])</f>
        <v>1</v>
      </c>
      <c r="K115" s="17"/>
      <c r="L115" s="18"/>
      <c r="M115" s="19"/>
      <c r="N115" s="19"/>
      <c r="O115" s="19"/>
    </row>
    <row r="116" spans="1:15" ht="27.75" customHeight="1" thickBot="1" x14ac:dyDescent="0.3">
      <c r="A116" s="474" t="str">
        <f t="shared" ca="1" si="13"/>
        <v/>
      </c>
      <c r="B116" s="480" t="s">
        <v>7</v>
      </c>
      <c r="C116" s="305" t="s">
        <v>136</v>
      </c>
      <c r="D116" s="305" t="s">
        <v>137</v>
      </c>
      <c r="E116" s="23"/>
      <c r="F116" s="23"/>
      <c r="G116" s="174">
        <f>Precificação[[#This Row],[Valor]]</f>
        <v>112.33</v>
      </c>
      <c r="H116" s="512">
        <f t="shared" ca="1" si="11"/>
        <v>0</v>
      </c>
      <c r="I116" s="175">
        <f>'Precificação de produto'!K116</f>
        <v>112.33</v>
      </c>
      <c r="J116" s="333" t="b">
        <f>EXACT(Descontos[[#This Row],[Nome]],Precificação[[#This Row],[Nome]])</f>
        <v>1</v>
      </c>
      <c r="K116" s="17"/>
      <c r="L116" s="18"/>
      <c r="M116" s="19"/>
      <c r="N116" s="19"/>
      <c r="O116" s="19"/>
    </row>
    <row r="117" spans="1:15" ht="27.75" customHeight="1" thickBot="1" x14ac:dyDescent="0.3">
      <c r="A117" s="474" t="str">
        <f t="shared" ca="1" si="13"/>
        <v/>
      </c>
      <c r="B117" s="480" t="s">
        <v>7</v>
      </c>
      <c r="C117" s="305" t="s">
        <v>114</v>
      </c>
      <c r="D117" s="305" t="s">
        <v>115</v>
      </c>
      <c r="E117" s="23"/>
      <c r="F117" s="23"/>
      <c r="G117" s="174">
        <f>Precificação[[#This Row],[Valor]]</f>
        <v>1599.99</v>
      </c>
      <c r="H117" s="512">
        <f t="shared" ca="1" si="11"/>
        <v>0</v>
      </c>
      <c r="I117" s="175">
        <f>'Precificação de produto'!K117</f>
        <v>1599.99</v>
      </c>
      <c r="J117" s="333" t="b">
        <f>EXACT(Descontos[[#This Row],[Nome]],Precificação[[#This Row],[Nome]])</f>
        <v>1</v>
      </c>
      <c r="K117" s="17"/>
      <c r="L117" s="18"/>
      <c r="M117" s="19"/>
      <c r="N117" s="19"/>
      <c r="O117" s="19"/>
    </row>
    <row r="118" spans="1:15" ht="27.75" customHeight="1" thickBot="1" x14ac:dyDescent="0.3">
      <c r="A118" s="474" t="str">
        <f t="shared" ca="1" si="13"/>
        <v/>
      </c>
      <c r="B118" s="480" t="s">
        <v>7</v>
      </c>
      <c r="C118" s="305" t="s">
        <v>84</v>
      </c>
      <c r="D118" s="305" t="s">
        <v>85</v>
      </c>
      <c r="E118" s="23"/>
      <c r="F118" s="23"/>
      <c r="G118" s="174">
        <f>Precificação[[#This Row],[Valor]]</f>
        <v>599.99</v>
      </c>
      <c r="H118" s="512">
        <f t="shared" ca="1" si="11"/>
        <v>0</v>
      </c>
      <c r="I118" s="175">
        <f>'Precificação de produto'!K118</f>
        <v>599.99</v>
      </c>
      <c r="J118" s="333" t="b">
        <f>EXACT(Descontos[[#This Row],[Nome]],Precificação[[#This Row],[Nome]])</f>
        <v>1</v>
      </c>
      <c r="K118" s="17"/>
      <c r="L118" s="18"/>
      <c r="M118" s="19"/>
      <c r="N118" s="19"/>
      <c r="O118" s="19"/>
    </row>
    <row r="119" spans="1:15" ht="27.75" customHeight="1" thickBot="1" x14ac:dyDescent="0.3">
      <c r="A119" s="474" t="str">
        <f t="shared" ca="1" si="13"/>
        <v>Ativado</v>
      </c>
      <c r="B119" s="480" t="s">
        <v>7</v>
      </c>
      <c r="C119" s="305" t="s">
        <v>52</v>
      </c>
      <c r="D119" s="305" t="s">
        <v>53</v>
      </c>
      <c r="E119" s="23">
        <v>46169</v>
      </c>
      <c r="F119" s="23">
        <v>46199</v>
      </c>
      <c r="G119" s="174">
        <f>Precificação[[#This Row],[Valor]]</f>
        <v>3250</v>
      </c>
      <c r="H119" s="512">
        <f t="shared" ca="1" si="11"/>
        <v>0.08</v>
      </c>
      <c r="I119" s="175">
        <f>'Precificação de produto'!K119</f>
        <v>2990</v>
      </c>
      <c r="J119" s="333" t="b">
        <f>EXACT(Descontos[[#This Row],[Nome]],Precificação[[#This Row],[Nome]])</f>
        <v>1</v>
      </c>
      <c r="K119" s="17"/>
      <c r="L119" s="18"/>
      <c r="M119" s="19"/>
      <c r="N119" s="19"/>
      <c r="O119" s="19"/>
    </row>
    <row r="120" spans="1:15" ht="27.75" customHeight="1" thickBot="1" x14ac:dyDescent="0.3">
      <c r="A120" s="474" t="str">
        <f t="shared" ca="1" si="13"/>
        <v>Ativado</v>
      </c>
      <c r="B120" s="480" t="s">
        <v>7</v>
      </c>
      <c r="C120" s="305" t="s">
        <v>18</v>
      </c>
      <c r="D120" s="305" t="s">
        <v>19</v>
      </c>
      <c r="E120" s="23">
        <v>46169</v>
      </c>
      <c r="F120" s="23">
        <v>46199</v>
      </c>
      <c r="G120" s="174">
        <f>Precificação[[#This Row],[Valor]]</f>
        <v>850</v>
      </c>
      <c r="H120" s="512">
        <f t="shared" ca="1" si="11"/>
        <v>0.18</v>
      </c>
      <c r="I120" s="175">
        <f>'Precificação de produto'!K120</f>
        <v>697</v>
      </c>
      <c r="J120" s="333" t="b">
        <f>EXACT(Descontos[[#This Row],[Nome]],Precificação[[#This Row],[Nome]])</f>
        <v>1</v>
      </c>
      <c r="K120" s="17"/>
      <c r="L120" s="18"/>
      <c r="M120" s="19"/>
      <c r="N120" s="19"/>
      <c r="O120" s="19"/>
    </row>
    <row r="121" spans="1:15" ht="27.75" customHeight="1" thickBot="1" x14ac:dyDescent="0.3">
      <c r="A121" s="474" t="str">
        <f t="shared" ca="1" si="13"/>
        <v>Ativado</v>
      </c>
      <c r="B121" s="480" t="s">
        <v>7</v>
      </c>
      <c r="C121" s="305" t="s">
        <v>16</v>
      </c>
      <c r="D121" s="305" t="s">
        <v>17</v>
      </c>
      <c r="E121" s="23">
        <v>46169</v>
      </c>
      <c r="F121" s="23">
        <v>46199</v>
      </c>
      <c r="G121" s="174">
        <f>Precificação[[#This Row],[Valor]]</f>
        <v>700</v>
      </c>
      <c r="H121" s="512">
        <f t="shared" ca="1" si="11"/>
        <v>0.1</v>
      </c>
      <c r="I121" s="175">
        <f>'Precificação de produto'!K121</f>
        <v>630</v>
      </c>
      <c r="J121" s="333" t="b">
        <f>EXACT(Descontos[[#This Row],[Nome]],Precificação[[#This Row],[Nome]])</f>
        <v>1</v>
      </c>
      <c r="K121" s="17"/>
      <c r="L121" s="18"/>
      <c r="M121" s="19"/>
      <c r="N121" s="19"/>
      <c r="O121" s="19"/>
    </row>
    <row r="122" spans="1:15" ht="27.75" customHeight="1" thickBot="1" x14ac:dyDescent="0.3">
      <c r="A122" s="474" t="str">
        <f t="shared" ca="1" si="13"/>
        <v/>
      </c>
      <c r="B122" s="480" t="s">
        <v>7</v>
      </c>
      <c r="C122" s="305" t="s">
        <v>58</v>
      </c>
      <c r="D122" s="305" t="s">
        <v>59</v>
      </c>
      <c r="E122" s="23"/>
      <c r="F122" s="23"/>
      <c r="G122" s="174">
        <f>Precificação[[#This Row],[Valor]]</f>
        <v>1200</v>
      </c>
      <c r="H122" s="512">
        <f t="shared" ca="1" si="11"/>
        <v>0.21</v>
      </c>
      <c r="I122" s="175">
        <f>'Precificação de produto'!K122</f>
        <v>948</v>
      </c>
      <c r="J122" s="333" t="b">
        <f>EXACT(Descontos[[#This Row],[Nome]],Precificação[[#This Row],[Nome]])</f>
        <v>1</v>
      </c>
      <c r="K122" s="17"/>
      <c r="L122" s="18"/>
      <c r="M122" s="19"/>
      <c r="N122" s="19"/>
      <c r="O122" s="19"/>
    </row>
    <row r="123" spans="1:15" ht="27.75" customHeight="1" thickBot="1" x14ac:dyDescent="0.3">
      <c r="A123" s="474" t="str">
        <f t="shared" ca="1" si="13"/>
        <v/>
      </c>
      <c r="B123" s="480" t="s">
        <v>7</v>
      </c>
      <c r="C123" s="305" t="s">
        <v>282</v>
      </c>
      <c r="D123" s="305" t="s">
        <v>284</v>
      </c>
      <c r="E123" s="23"/>
      <c r="F123" s="23"/>
      <c r="G123" s="174">
        <f>Precificação[[#This Row],[Valor]]</f>
        <v>449.99</v>
      </c>
      <c r="H123" s="512">
        <f t="shared" ca="1" si="11"/>
        <v>0</v>
      </c>
      <c r="I123" s="175">
        <f>'Precificação de produto'!K123</f>
        <v>449.99</v>
      </c>
      <c r="J123" s="333" t="b">
        <f>EXACT(Descontos[[#This Row],[Nome]],Precificação[[#This Row],[Nome]])</f>
        <v>1</v>
      </c>
      <c r="K123" s="17"/>
      <c r="L123" s="18"/>
      <c r="M123" s="19"/>
      <c r="N123" s="19"/>
      <c r="O123" s="19"/>
    </row>
    <row r="124" spans="1:15" ht="27.75" customHeight="1" thickBot="1" x14ac:dyDescent="0.3">
      <c r="A124" s="474" t="str">
        <f t="shared" ca="1" si="13"/>
        <v/>
      </c>
      <c r="B124" s="480" t="s">
        <v>7</v>
      </c>
      <c r="C124" s="305" t="s">
        <v>116</v>
      </c>
      <c r="D124" s="305" t="s">
        <v>117</v>
      </c>
      <c r="E124" s="23"/>
      <c r="F124" s="23"/>
      <c r="G124" s="174">
        <f>Precificação[[#This Row],[Valor]]</f>
        <v>649.99</v>
      </c>
      <c r="H124" s="512">
        <f t="shared" ca="1" si="11"/>
        <v>0.36</v>
      </c>
      <c r="I124" s="175">
        <f>'Precificação de produto'!K124</f>
        <v>415.99360000000001</v>
      </c>
      <c r="J124" s="333" t="b">
        <f>EXACT(Descontos[[#This Row],[Nome]],Precificação[[#This Row],[Nome]])</f>
        <v>1</v>
      </c>
      <c r="K124" s="17"/>
      <c r="L124" s="18"/>
      <c r="M124" s="19"/>
      <c r="N124" s="19"/>
      <c r="O124" s="19"/>
    </row>
    <row r="125" spans="1:15" ht="27.75" customHeight="1" thickBot="1" x14ac:dyDescent="0.3">
      <c r="A125" s="474" t="str">
        <f t="shared" ca="1" si="13"/>
        <v>Ativado</v>
      </c>
      <c r="B125" s="480" t="s">
        <v>7</v>
      </c>
      <c r="C125" s="305" t="s">
        <v>51</v>
      </c>
      <c r="D125" s="305" t="s">
        <v>50</v>
      </c>
      <c r="E125" s="23">
        <v>46169</v>
      </c>
      <c r="F125" s="23">
        <v>46199</v>
      </c>
      <c r="G125" s="174">
        <f>Precificação[[#This Row],[Valor]]</f>
        <v>250</v>
      </c>
      <c r="H125" s="512">
        <f t="shared" ca="1" si="11"/>
        <v>0.24</v>
      </c>
      <c r="I125" s="175">
        <f>'Precificação de produto'!K125</f>
        <v>190</v>
      </c>
      <c r="J125" s="333" t="b">
        <f>EXACT(Descontos[[#This Row],[Nome]],Precificação[[#This Row],[Nome]])</f>
        <v>1</v>
      </c>
      <c r="K125" s="17"/>
      <c r="L125" s="18"/>
      <c r="M125" s="19"/>
      <c r="N125" s="19"/>
      <c r="O125" s="19"/>
    </row>
    <row r="126" spans="1:15" ht="27.75" customHeight="1" thickBot="1" x14ac:dyDescent="0.3">
      <c r="A126" s="474" t="str">
        <f t="shared" ca="1" si="13"/>
        <v/>
      </c>
      <c r="B126" s="480" t="s">
        <v>7</v>
      </c>
      <c r="C126" s="305" t="s">
        <v>60</v>
      </c>
      <c r="D126" s="305" t="s">
        <v>61</v>
      </c>
      <c r="E126" s="23"/>
      <c r="F126" s="23"/>
      <c r="G126" s="174">
        <f>Precificação[[#This Row],[Valor]]</f>
        <v>250</v>
      </c>
      <c r="H126" s="512">
        <f t="shared" ca="1" si="11"/>
        <v>0.24</v>
      </c>
      <c r="I126" s="175">
        <f>'Precificação de produto'!K126</f>
        <v>190</v>
      </c>
      <c r="J126" s="333" t="b">
        <f>EXACT(Descontos[[#This Row],[Nome]],Precificação[[#This Row],[Nome]])</f>
        <v>1</v>
      </c>
      <c r="K126" s="17"/>
      <c r="L126" s="18"/>
      <c r="M126" s="19"/>
      <c r="N126" s="19"/>
      <c r="O126" s="19"/>
    </row>
    <row r="127" spans="1:15" ht="27.75" customHeight="1" thickBot="1" x14ac:dyDescent="0.3">
      <c r="A127" s="474" t="str">
        <f t="shared" ca="1" si="13"/>
        <v/>
      </c>
      <c r="B127" s="480" t="s">
        <v>7</v>
      </c>
      <c r="C127" s="305" t="s">
        <v>140</v>
      </c>
      <c r="D127" s="305" t="s">
        <v>141</v>
      </c>
      <c r="E127" s="23"/>
      <c r="F127" s="23"/>
      <c r="G127" s="174">
        <f>Precificação[[#This Row],[Valor]]</f>
        <v>98</v>
      </c>
      <c r="H127" s="512">
        <f t="shared" ca="1" si="11"/>
        <v>0</v>
      </c>
      <c r="I127" s="175">
        <f>'Precificação de produto'!K127</f>
        <v>98</v>
      </c>
      <c r="J127" s="333" t="b">
        <f>EXACT(Descontos[[#This Row],[Nome]],Precificação[[#This Row],[Nome]])</f>
        <v>1</v>
      </c>
      <c r="K127" s="17"/>
      <c r="L127" s="18"/>
      <c r="M127" s="19"/>
      <c r="N127" s="19"/>
      <c r="O127" s="19"/>
    </row>
    <row r="128" spans="1:15" ht="27.75" customHeight="1" thickBot="1" x14ac:dyDescent="0.3">
      <c r="A128" s="474" t="str">
        <f t="shared" ca="1" si="13"/>
        <v>Ativado</v>
      </c>
      <c r="B128" s="480" t="s">
        <v>7</v>
      </c>
      <c r="C128" s="305" t="s">
        <v>12</v>
      </c>
      <c r="D128" s="305" t="s">
        <v>13</v>
      </c>
      <c r="E128" s="23">
        <v>46169</v>
      </c>
      <c r="F128" s="23">
        <v>46199</v>
      </c>
      <c r="G128" s="174">
        <f>Precificação[[#This Row],[Valor]]</f>
        <v>405</v>
      </c>
      <c r="H128" s="512">
        <f t="shared" ca="1" si="11"/>
        <v>0.06</v>
      </c>
      <c r="I128" s="175">
        <f>'Precificação de produto'!K128</f>
        <v>380.7</v>
      </c>
      <c r="J128" s="333" t="b">
        <f>EXACT(Descontos[[#This Row],[Nome]],Precificação[[#This Row],[Nome]])</f>
        <v>1</v>
      </c>
      <c r="K128" s="17"/>
      <c r="L128" s="18"/>
      <c r="M128" s="19"/>
      <c r="N128" s="19"/>
      <c r="O128" s="19"/>
    </row>
    <row r="129" spans="1:15" ht="27.75" customHeight="1" thickBot="1" x14ac:dyDescent="0.3">
      <c r="A129" s="474" t="str">
        <f t="shared" ca="1" si="13"/>
        <v/>
      </c>
      <c r="B129" s="480" t="s">
        <v>7</v>
      </c>
      <c r="C129" s="305" t="s">
        <v>103</v>
      </c>
      <c r="D129" s="305" t="s">
        <v>104</v>
      </c>
      <c r="E129" s="23"/>
      <c r="F129" s="23"/>
      <c r="G129" s="174">
        <f>Precificação[[#This Row],[Valor]]</f>
        <v>39.99</v>
      </c>
      <c r="H129" s="512">
        <f t="shared" ca="1" si="11"/>
        <v>0</v>
      </c>
      <c r="I129" s="175">
        <f>'Precificação de produto'!K129</f>
        <v>39.99</v>
      </c>
      <c r="J129" s="333" t="b">
        <f>EXACT(Descontos[[#This Row],[Nome]],Precificação[[#This Row],[Nome]])</f>
        <v>1</v>
      </c>
      <c r="K129" s="17"/>
      <c r="L129" s="18"/>
      <c r="M129" s="19"/>
      <c r="N129" s="19"/>
      <c r="O129" s="19"/>
    </row>
    <row r="130" spans="1:15" ht="27.75" customHeight="1" thickBot="1" x14ac:dyDescent="0.3">
      <c r="A130" s="474" t="str">
        <f t="shared" ref="A130:A164" ca="1" si="14">IF(E130="","",IF(E130&gt;TODAY(),"Programado",IF(F130=TODAY()+1,"Expira amanhã",IF(F130=TODAY()+2,"Quase expirando",IF(F130=TODAY(),"Expira hoje",IF(F130&lt;=TODAY()-1,"Expirado","Ativado"))))))</f>
        <v/>
      </c>
      <c r="B130" s="480" t="s">
        <v>7</v>
      </c>
      <c r="C130" s="305" t="s">
        <v>40</v>
      </c>
      <c r="D130" s="305" t="s">
        <v>41</v>
      </c>
      <c r="E130" s="23"/>
      <c r="F130" s="23"/>
      <c r="G130" s="174">
        <f>Precificação[[#This Row],[Valor]]</f>
        <v>55</v>
      </c>
      <c r="H130" s="512">
        <f t="shared" ca="1" si="11"/>
        <v>0.32</v>
      </c>
      <c r="I130" s="175">
        <f>'Precificação de produto'!K130</f>
        <v>37.4</v>
      </c>
      <c r="J130" s="333" t="b">
        <f>EXACT(Descontos[[#This Row],[Nome]],Precificação[[#This Row],[Nome]])</f>
        <v>1</v>
      </c>
      <c r="K130" s="17"/>
      <c r="L130" s="18"/>
      <c r="M130" s="19"/>
      <c r="N130" s="19"/>
      <c r="O130" s="19"/>
    </row>
    <row r="131" spans="1:15" ht="27.75" customHeight="1" thickBot="1" x14ac:dyDescent="0.3">
      <c r="A131" s="474" t="str">
        <f t="shared" ca="1" si="14"/>
        <v/>
      </c>
      <c r="B131" s="480" t="s">
        <v>7</v>
      </c>
      <c r="C131" s="305" t="s">
        <v>64</v>
      </c>
      <c r="D131" s="305" t="s">
        <v>65</v>
      </c>
      <c r="E131" s="23"/>
      <c r="F131" s="23"/>
      <c r="G131" s="174">
        <f>Precificação[[#This Row],[Valor]]</f>
        <v>379.99</v>
      </c>
      <c r="H131" s="512">
        <f t="shared" ref="H131:H179" ca="1" si="15">HYPERLINK("#'Precificação de produto'!J" &amp; ROW(), INDIRECT("'Precificação de produto'!J" &amp; ROW()))</f>
        <v>0</v>
      </c>
      <c r="I131" s="175">
        <f>'Precificação de produto'!K131</f>
        <v>379.99</v>
      </c>
      <c r="J131" s="333" t="b">
        <f>EXACT(Descontos[[#This Row],[Nome]],Precificação[[#This Row],[Nome]])</f>
        <v>1</v>
      </c>
      <c r="K131" s="17"/>
      <c r="L131" s="18"/>
      <c r="M131" s="19"/>
      <c r="N131" s="19"/>
      <c r="O131" s="19"/>
    </row>
    <row r="132" spans="1:15" ht="27.75" customHeight="1" thickBot="1" x14ac:dyDescent="0.3">
      <c r="A132" s="474" t="str">
        <f t="shared" ca="1" si="14"/>
        <v>Ativado</v>
      </c>
      <c r="B132" s="480" t="s">
        <v>7</v>
      </c>
      <c r="C132" s="305" t="s">
        <v>94</v>
      </c>
      <c r="D132" s="305" t="s">
        <v>93</v>
      </c>
      <c r="E132" s="23">
        <v>46169</v>
      </c>
      <c r="F132" s="23">
        <v>46199</v>
      </c>
      <c r="G132" s="174">
        <f>Precificação[[#This Row],[Valor]]</f>
        <v>96</v>
      </c>
      <c r="H132" s="512">
        <f t="shared" ca="1" si="15"/>
        <v>0.57999999999999996</v>
      </c>
      <c r="I132" s="175">
        <f>'Precificação de produto'!K132</f>
        <v>40.320000000000007</v>
      </c>
      <c r="J132" s="333" t="b">
        <f>EXACT(Descontos[[#This Row],[Nome]],Precificação[[#This Row],[Nome]])</f>
        <v>1</v>
      </c>
      <c r="K132" s="17"/>
      <c r="L132" s="18"/>
      <c r="M132" s="19"/>
      <c r="N132" s="19"/>
      <c r="O132" s="19"/>
    </row>
    <row r="133" spans="1:15" ht="27.75" customHeight="1" thickBot="1" x14ac:dyDescent="0.3">
      <c r="A133" s="474" t="str">
        <f t="shared" ca="1" si="14"/>
        <v>Ativado</v>
      </c>
      <c r="B133" s="480" t="s">
        <v>7</v>
      </c>
      <c r="C133" s="305" t="s">
        <v>95</v>
      </c>
      <c r="D133" s="305" t="s">
        <v>96</v>
      </c>
      <c r="E133" s="23">
        <v>46169</v>
      </c>
      <c r="F133" s="23">
        <v>46199</v>
      </c>
      <c r="G133" s="174">
        <f>Precificação[[#This Row],[Valor]]</f>
        <v>260</v>
      </c>
      <c r="H133" s="512">
        <f t="shared" ca="1" si="15"/>
        <v>0.53</v>
      </c>
      <c r="I133" s="175">
        <f>'Precificação de produto'!K133</f>
        <v>122.19999999999999</v>
      </c>
      <c r="J133" s="333" t="b">
        <f>EXACT(Descontos[[#This Row],[Nome]],Precificação[[#This Row],[Nome]])</f>
        <v>1</v>
      </c>
      <c r="K133" s="17"/>
      <c r="L133" s="18"/>
      <c r="M133" s="19"/>
      <c r="N133" s="19"/>
      <c r="O133" s="19"/>
    </row>
    <row r="134" spans="1:15" ht="27.75" customHeight="1" thickBot="1" x14ac:dyDescent="0.3">
      <c r="A134" s="474" t="str">
        <f t="shared" ca="1" si="14"/>
        <v>Ativado</v>
      </c>
      <c r="B134" s="480" t="s">
        <v>7</v>
      </c>
      <c r="C134" s="305" t="s">
        <v>122</v>
      </c>
      <c r="D134" s="305" t="s">
        <v>123</v>
      </c>
      <c r="E134" s="23">
        <v>46169</v>
      </c>
      <c r="F134" s="23">
        <v>46199</v>
      </c>
      <c r="G134" s="174">
        <f>Precificação[[#This Row],[Valor]]</f>
        <v>74</v>
      </c>
      <c r="H134" s="512">
        <f t="shared" ca="1" si="15"/>
        <v>0.45</v>
      </c>
      <c r="I134" s="175">
        <f>'Precificação de produto'!K134</f>
        <v>40.700000000000003</v>
      </c>
      <c r="J134" s="333" t="b">
        <f>EXACT(Descontos[[#This Row],[Nome]],Precificação[[#This Row],[Nome]])</f>
        <v>1</v>
      </c>
      <c r="K134" s="17"/>
      <c r="L134" s="18"/>
      <c r="M134" s="19"/>
      <c r="N134" s="19"/>
      <c r="O134" s="19"/>
    </row>
    <row r="135" spans="1:15" ht="27.75" customHeight="1" thickBot="1" x14ac:dyDescent="0.3">
      <c r="A135" s="474" t="str">
        <f t="shared" ca="1" si="14"/>
        <v>Ativado</v>
      </c>
      <c r="B135" s="480" t="s">
        <v>7</v>
      </c>
      <c r="C135" s="305" t="s">
        <v>87</v>
      </c>
      <c r="D135" s="305" t="s">
        <v>88</v>
      </c>
      <c r="E135" s="23">
        <v>46169</v>
      </c>
      <c r="F135" s="23">
        <v>46199</v>
      </c>
      <c r="G135" s="174">
        <f>Precificação[[#This Row],[Valor]]</f>
        <v>222</v>
      </c>
      <c r="H135" s="512">
        <f t="shared" ca="1" si="15"/>
        <v>0.45</v>
      </c>
      <c r="I135" s="175">
        <f>'Precificação de produto'!K135</f>
        <v>122.10000000000001</v>
      </c>
      <c r="J135" s="333" t="b">
        <f>EXACT(Descontos[[#This Row],[Nome]],Precificação[[#This Row],[Nome]])</f>
        <v>1</v>
      </c>
      <c r="K135" s="17"/>
      <c r="L135" s="18"/>
      <c r="M135" s="19"/>
      <c r="N135" s="19"/>
      <c r="O135" s="19"/>
    </row>
    <row r="136" spans="1:15" ht="27.75" customHeight="1" thickBot="1" x14ac:dyDescent="0.3">
      <c r="A136" s="474" t="str">
        <f t="shared" ca="1" si="14"/>
        <v/>
      </c>
      <c r="B136" s="480" t="s">
        <v>7</v>
      </c>
      <c r="C136" s="305" t="s">
        <v>124</v>
      </c>
      <c r="D136" s="305" t="s">
        <v>125</v>
      </c>
      <c r="E136" s="23"/>
      <c r="F136" s="23"/>
      <c r="G136" s="174">
        <f>Precificação[[#This Row],[Valor]]</f>
        <v>61.33</v>
      </c>
      <c r="H136" s="512">
        <f t="shared" ca="1" si="15"/>
        <v>0</v>
      </c>
      <c r="I136" s="175">
        <f>'Precificação de produto'!K136</f>
        <v>61.33</v>
      </c>
      <c r="J136" s="333" t="b">
        <f>EXACT(Descontos[[#This Row],[Nome]],Precificação[[#This Row],[Nome]])</f>
        <v>1</v>
      </c>
      <c r="K136" s="17"/>
      <c r="L136" s="18"/>
      <c r="M136" s="19"/>
      <c r="N136" s="19"/>
      <c r="O136" s="19"/>
    </row>
    <row r="137" spans="1:15" ht="27.75" customHeight="1" thickBot="1" x14ac:dyDescent="0.3">
      <c r="A137" s="474" t="str">
        <f t="shared" ca="1" si="14"/>
        <v>Ativado</v>
      </c>
      <c r="B137" s="480" t="s">
        <v>7</v>
      </c>
      <c r="C137" s="305" t="s">
        <v>28</v>
      </c>
      <c r="D137" s="305" t="s">
        <v>29</v>
      </c>
      <c r="E137" s="23">
        <v>46169</v>
      </c>
      <c r="F137" s="23">
        <v>46199</v>
      </c>
      <c r="G137" s="174">
        <f>Precificação[[#This Row],[Valor]]</f>
        <v>205</v>
      </c>
      <c r="H137" s="512">
        <f t="shared" ca="1" si="15"/>
        <v>0.13</v>
      </c>
      <c r="I137" s="175">
        <f>'Precificação de produto'!K137</f>
        <v>178.35</v>
      </c>
      <c r="J137" s="333" t="b">
        <f>EXACT(Descontos[[#This Row],[Nome]],Precificação[[#This Row],[Nome]])</f>
        <v>1</v>
      </c>
      <c r="K137" s="17"/>
      <c r="L137" s="18"/>
      <c r="M137" s="19"/>
      <c r="N137" s="19"/>
      <c r="O137" s="19"/>
    </row>
    <row r="138" spans="1:15" ht="27.75" customHeight="1" thickBot="1" x14ac:dyDescent="0.3">
      <c r="A138" s="474" t="str">
        <f t="shared" ca="1" si="14"/>
        <v>Ativado</v>
      </c>
      <c r="B138" s="480" t="s">
        <v>7</v>
      </c>
      <c r="C138" s="305" t="s">
        <v>97</v>
      </c>
      <c r="D138" s="305" t="s">
        <v>98</v>
      </c>
      <c r="E138" s="23">
        <v>46169</v>
      </c>
      <c r="F138" s="23">
        <v>46199</v>
      </c>
      <c r="G138" s="174">
        <f>Precificação[[#This Row],[Valor]]</f>
        <v>107</v>
      </c>
      <c r="H138" s="512">
        <f t="shared" ca="1" si="15"/>
        <v>0.62</v>
      </c>
      <c r="I138" s="175">
        <f>'Precificação de produto'!K138</f>
        <v>40.660000000000004</v>
      </c>
      <c r="J138" s="333" t="b">
        <f>EXACT(Descontos[[#This Row],[Nome]],Precificação[[#This Row],[Nome]])</f>
        <v>1</v>
      </c>
      <c r="K138" s="17"/>
      <c r="L138" s="18"/>
      <c r="M138" s="19"/>
      <c r="N138" s="19"/>
      <c r="O138" s="19"/>
    </row>
    <row r="139" spans="1:15" ht="27.75" customHeight="1" thickBot="1" x14ac:dyDescent="0.3">
      <c r="A139" s="474" t="str">
        <f t="shared" ca="1" si="14"/>
        <v>Ativado</v>
      </c>
      <c r="B139" s="480" t="s">
        <v>7</v>
      </c>
      <c r="C139" s="305" t="s">
        <v>99</v>
      </c>
      <c r="D139" s="305" t="s">
        <v>100</v>
      </c>
      <c r="E139" s="23">
        <v>46169</v>
      </c>
      <c r="F139" s="23">
        <v>46199</v>
      </c>
      <c r="G139" s="174">
        <f>Precificação[[#This Row],[Valor]]</f>
        <v>279.99</v>
      </c>
      <c r="H139" s="512">
        <f t="shared" ca="1" si="15"/>
        <v>0.56999999999999995</v>
      </c>
      <c r="I139" s="175">
        <f>'Precificação de produto'!K139</f>
        <v>120.39570000000002</v>
      </c>
      <c r="J139" s="333" t="b">
        <f>EXACT(Descontos[[#This Row],[Nome]],Precificação[[#This Row],[Nome]])</f>
        <v>1</v>
      </c>
      <c r="K139" s="17"/>
      <c r="L139" s="18"/>
      <c r="M139" s="19"/>
      <c r="N139" s="19"/>
      <c r="O139" s="19"/>
    </row>
    <row r="140" spans="1:15" ht="27.75" customHeight="1" thickBot="1" x14ac:dyDescent="0.3">
      <c r="A140" s="474" t="str">
        <f t="shared" ca="1" si="14"/>
        <v>Ativado</v>
      </c>
      <c r="B140" s="480" t="s">
        <v>7</v>
      </c>
      <c r="C140" s="305" t="s">
        <v>91</v>
      </c>
      <c r="D140" s="305" t="s">
        <v>92</v>
      </c>
      <c r="E140" s="23">
        <v>46169</v>
      </c>
      <c r="F140" s="23">
        <v>46199</v>
      </c>
      <c r="G140" s="174">
        <f>Precificação[[#This Row],[Valor]]</f>
        <v>71.33</v>
      </c>
      <c r="H140" s="512">
        <f t="shared" ca="1" si="15"/>
        <v>0.43</v>
      </c>
      <c r="I140" s="175">
        <f>'Precificação de produto'!K140</f>
        <v>40.658100000000005</v>
      </c>
      <c r="J140" s="333" t="b">
        <f>EXACT(Descontos[[#This Row],[Nome]],Precificação[[#This Row],[Nome]])</f>
        <v>1</v>
      </c>
      <c r="K140" s="17"/>
      <c r="L140" s="18"/>
      <c r="M140" s="19"/>
      <c r="N140" s="19"/>
      <c r="O140" s="19"/>
    </row>
    <row r="141" spans="1:15" ht="27.75" customHeight="1" thickBot="1" x14ac:dyDescent="0.3">
      <c r="A141" s="474" t="str">
        <f t="shared" ca="1" si="14"/>
        <v>Ativado</v>
      </c>
      <c r="B141" s="480" t="s">
        <v>7</v>
      </c>
      <c r="C141" s="305" t="s">
        <v>118</v>
      </c>
      <c r="D141" s="305" t="s">
        <v>119</v>
      </c>
      <c r="E141" s="23">
        <v>46169</v>
      </c>
      <c r="F141" s="23">
        <v>46199</v>
      </c>
      <c r="G141" s="174">
        <f>Precificação[[#This Row],[Valor]]</f>
        <v>214</v>
      </c>
      <c r="H141" s="512">
        <f t="shared" ca="1" si="15"/>
        <v>0.43</v>
      </c>
      <c r="I141" s="175">
        <f>'Precificação de produto'!K141</f>
        <v>121.98000000000002</v>
      </c>
      <c r="J141" s="333" t="b">
        <f>EXACT(Descontos[[#This Row],[Nome]],Precificação[[#This Row],[Nome]])</f>
        <v>1</v>
      </c>
      <c r="K141" s="17"/>
      <c r="L141" s="18"/>
      <c r="M141" s="19"/>
      <c r="N141" s="19"/>
      <c r="O141" s="19"/>
    </row>
    <row r="142" spans="1:15" ht="27.75" customHeight="1" thickBot="1" x14ac:dyDescent="0.3">
      <c r="A142" s="474" t="str">
        <f t="shared" ca="1" si="14"/>
        <v/>
      </c>
      <c r="B142" s="480" t="s">
        <v>7</v>
      </c>
      <c r="C142" s="305" t="s">
        <v>62</v>
      </c>
      <c r="D142" s="305" t="s">
        <v>63</v>
      </c>
      <c r="E142" s="23"/>
      <c r="F142" s="23"/>
      <c r="G142" s="174">
        <f>Precificação[[#This Row],[Valor]]</f>
        <v>1239.29</v>
      </c>
      <c r="H142" s="512">
        <f t="shared" ca="1" si="15"/>
        <v>0</v>
      </c>
      <c r="I142" s="175">
        <f>'Precificação de produto'!K142</f>
        <v>1239.29</v>
      </c>
      <c r="J142" s="333" t="b">
        <f>EXACT(Descontos[[#This Row],[Nome]],Precificação[[#This Row],[Nome]])</f>
        <v>1</v>
      </c>
      <c r="K142" s="17"/>
      <c r="L142" s="18"/>
      <c r="M142" s="19"/>
      <c r="N142" s="19"/>
      <c r="O142" s="19"/>
    </row>
    <row r="143" spans="1:15" ht="27.75" customHeight="1" thickBot="1" x14ac:dyDescent="0.3">
      <c r="A143" s="474" t="str">
        <f ca="1">IF(E143="","",IF(E143&gt;TODAY(),"Programado",IF(F143=TODAY()+1,"Expira amanhã",IF(F143=TODAY()+2,"Quase expirando",IF(F143=TODAY(),"Expira hoje",IF(F143&lt;=TODAY()-1,"Expirado","Ativado"))))))</f>
        <v/>
      </c>
      <c r="B143" s="480" t="str">
        <f>Precificação[[#This Row],[Anúncio]]</f>
        <v>Link</v>
      </c>
      <c r="C143" s="305" t="s">
        <v>451</v>
      </c>
      <c r="D143" s="305" t="s">
        <v>450</v>
      </c>
      <c r="E143" s="23"/>
      <c r="F143" s="23"/>
      <c r="G143" s="174">
        <f>Precificação[[#This Row],[Valor]]</f>
        <v>86.52</v>
      </c>
      <c r="H143" s="512">
        <f t="shared" ca="1" si="15"/>
        <v>0.13</v>
      </c>
      <c r="I143" s="175">
        <f>'Precificação de produto'!K143</f>
        <v>75.27239999999999</v>
      </c>
      <c r="J143" s="333" t="b">
        <f>EXACT(Descontos[[#This Row],[Nome]],Precificação[[#This Row],[Nome]])</f>
        <v>1</v>
      </c>
      <c r="K143" s="17"/>
      <c r="L143" s="18"/>
      <c r="M143" s="19"/>
      <c r="N143" s="19"/>
      <c r="O143" s="19"/>
    </row>
    <row r="144" spans="1:15" ht="27.75" customHeight="1" thickBot="1" x14ac:dyDescent="0.3">
      <c r="A144" s="474" t="str">
        <f t="shared" ca="1" si="14"/>
        <v/>
      </c>
      <c r="B144" s="480" t="s">
        <v>7</v>
      </c>
      <c r="C144" s="305" t="s">
        <v>453</v>
      </c>
      <c r="D144" s="305" t="s">
        <v>454</v>
      </c>
      <c r="E144" s="23"/>
      <c r="F144" s="23"/>
      <c r="G144" s="174">
        <f>Precificação[[#This Row],[Valor]]</f>
        <v>172</v>
      </c>
      <c r="H144" s="512">
        <f t="shared" ca="1" si="15"/>
        <v>0.06</v>
      </c>
      <c r="I144" s="175">
        <f>'Precificação de produto'!K144</f>
        <v>161.67999999999998</v>
      </c>
      <c r="J144" s="333" t="b">
        <f>EXACT(Descontos[[#This Row],[Nome]],Precificação[[#This Row],[Nome]])</f>
        <v>1</v>
      </c>
      <c r="K144" s="17"/>
      <c r="L144" s="18"/>
      <c r="M144" s="19"/>
      <c r="N144" s="19"/>
      <c r="O144" s="19"/>
    </row>
    <row r="145" spans="1:15" ht="27.75" customHeight="1" thickBot="1" x14ac:dyDescent="0.3">
      <c r="A145" s="474" t="str">
        <f ca="1">IF(E145="","",IF(E145&gt;TODAY(),"Programado",IF(F145=TODAY()+1,"Expira amanhã",IF(F145=TODAY()+2,"Quase expirando",IF(F145=TODAY(),"Expira hoje",IF(F145&lt;=TODAY()-1,"Expirado","Ativado"))))))</f>
        <v>Ativado</v>
      </c>
      <c r="B145" s="480" t="s">
        <v>7</v>
      </c>
      <c r="C145" s="305" t="s">
        <v>455</v>
      </c>
      <c r="D145" s="305" t="s">
        <v>456</v>
      </c>
      <c r="E145" s="23">
        <v>46169</v>
      </c>
      <c r="F145" s="23">
        <v>46199</v>
      </c>
      <c r="G145" s="174">
        <f>Precificação[[#This Row],[Valor]]</f>
        <v>499.99</v>
      </c>
      <c r="H145" s="512">
        <f t="shared" ca="1" si="15"/>
        <v>0.24</v>
      </c>
      <c r="I145" s="175">
        <f>'Precificação de produto'!K145</f>
        <v>379.99240000000003</v>
      </c>
      <c r="J145" s="333" t="b">
        <f>EXACT(Descontos[[#This Row],[Nome]],Precificação[[#This Row],[Nome]])</f>
        <v>1</v>
      </c>
      <c r="K145" s="17"/>
      <c r="L145" s="18"/>
      <c r="M145" s="19"/>
      <c r="N145" s="19"/>
      <c r="O145" s="19"/>
    </row>
    <row r="146" spans="1:15" ht="27.75" customHeight="1" thickBot="1" x14ac:dyDescent="0.3">
      <c r="A146" s="474" t="str">
        <f ca="1">IF(E146="","",IF(E146&gt;TODAY(),"Programado",IF(F146=TODAY()+1,"Expira amanhã",IF(F146=TODAY()+2,"Quase expirando",IF(F146=TODAY(),"Expira hoje",IF(F146&lt;=TODAY()-1,"Expirado","Ativado"))))))</f>
        <v/>
      </c>
      <c r="B146" s="480" t="s">
        <v>7</v>
      </c>
      <c r="C146" s="305" t="s">
        <v>460</v>
      </c>
      <c r="D146" s="305" t="s">
        <v>462</v>
      </c>
      <c r="E146" s="23"/>
      <c r="F146" s="23"/>
      <c r="G146" s="174">
        <f>Precificação[[#This Row],[Valor]]</f>
        <v>12</v>
      </c>
      <c r="H146" s="512">
        <f t="shared" ca="1" si="15"/>
        <v>0</v>
      </c>
      <c r="I146" s="175">
        <f>'Precificação de produto'!K146</f>
        <v>12</v>
      </c>
      <c r="J146" s="333" t="b">
        <f>EXACT(Descontos[[#This Row],[Nome]],Precificação[[#This Row],[Nome]])</f>
        <v>1</v>
      </c>
      <c r="K146" s="17"/>
      <c r="L146" s="18"/>
      <c r="M146" s="19"/>
      <c r="N146" s="19"/>
      <c r="O146" s="19"/>
    </row>
    <row r="147" spans="1:15" ht="27.75" customHeight="1" thickBot="1" x14ac:dyDescent="0.3">
      <c r="A147" s="474" t="str">
        <f ca="1">IF(E147="","",IF(E147&gt;TODAY(),"Programado",IF(F147=TODAY()+1,"Expira amanhã",IF(F147=TODAY()+2,"Quase expirando",IF(F147=TODAY(),"Expira hoje",IF(F147&lt;=TODAY()-1,"Expirado","Ativado"))))))</f>
        <v/>
      </c>
      <c r="B147" s="480" t="s">
        <v>7</v>
      </c>
      <c r="C147" s="305" t="s">
        <v>481</v>
      </c>
      <c r="D147" s="305" t="s">
        <v>483</v>
      </c>
      <c r="E147" s="23"/>
      <c r="F147" s="23"/>
      <c r="G147" s="174">
        <f>Precificação[[#This Row],[Valor]]</f>
        <v>70</v>
      </c>
      <c r="H147" s="512">
        <f t="shared" ca="1" si="15"/>
        <v>0</v>
      </c>
      <c r="I147" s="175">
        <f>'Precificação de produto'!K147</f>
        <v>70</v>
      </c>
      <c r="J147" s="333" t="b">
        <f>EXACT(Descontos[[#This Row],[Nome]],Precificação[[#This Row],[Nome]])</f>
        <v>1</v>
      </c>
      <c r="K147" s="17"/>
      <c r="L147" s="18"/>
      <c r="M147" s="19"/>
      <c r="N147" s="19"/>
      <c r="O147" s="19"/>
    </row>
    <row r="148" spans="1:15" ht="27.75" customHeight="1" thickBot="1" x14ac:dyDescent="0.3">
      <c r="A148" s="474" t="str">
        <f t="shared" ca="1" si="14"/>
        <v/>
      </c>
      <c r="B148" s="480" t="s">
        <v>7</v>
      </c>
      <c r="C148" s="305" t="s">
        <v>132</v>
      </c>
      <c r="D148" s="305" t="s">
        <v>133</v>
      </c>
      <c r="E148" s="23"/>
      <c r="F148" s="23"/>
      <c r="G148" s="174">
        <f>Precificação[[#This Row],[Valor]]</f>
        <v>102</v>
      </c>
      <c r="H148" s="512">
        <f t="shared" ca="1" si="15"/>
        <v>0.24</v>
      </c>
      <c r="I148" s="175">
        <f>Precificação[[#This Row],[Preço anunciado]]</f>
        <v>77.52</v>
      </c>
      <c r="J148" s="333" t="b">
        <f>EXACT(Descontos[[#This Row],[Nome]],Precificação[[#This Row],[Nome]])</f>
        <v>1</v>
      </c>
      <c r="K148" s="17"/>
      <c r="L148" s="18"/>
      <c r="M148" s="19"/>
      <c r="N148" s="19"/>
      <c r="O148" s="19"/>
    </row>
    <row r="149" spans="1:15" ht="27.75" customHeight="1" thickBot="1" x14ac:dyDescent="0.3">
      <c r="A149" s="474" t="str">
        <f ca="1">IF(E149="","",IF(E149&gt;TODAY(),"Programado",IF(F149=TODAY()+1,"Expira amanhã",IF(F149=TODAY()+2,"Quase expirando",IF(F149=TODAY(),"Expira hoje",IF(F149&lt;=TODAY()-1,"Expirado","Ativado"))))))</f>
        <v/>
      </c>
      <c r="B149" s="480" t="s">
        <v>7</v>
      </c>
      <c r="C149" s="305" t="s">
        <v>1189</v>
      </c>
      <c r="D149" s="305" t="s">
        <v>1191</v>
      </c>
      <c r="E149" s="23"/>
      <c r="F149" s="23"/>
      <c r="G149" s="174">
        <f>'Precificação de produto'!F149</f>
        <v>38.9</v>
      </c>
      <c r="H149" s="512">
        <f t="shared" ca="1" si="15"/>
        <v>0</v>
      </c>
      <c r="I149" s="175">
        <f>Precificação[[#This Row],[Preço anunciado]]</f>
        <v>38.9</v>
      </c>
      <c r="J149" s="333" t="b">
        <f>EXACT(Descontos[[#This Row],[Nome]],Precificação[[#This Row],[Nome]])</f>
        <v>1</v>
      </c>
      <c r="K149" s="17"/>
      <c r="L149" s="18"/>
      <c r="M149" s="19"/>
      <c r="N149" s="19"/>
      <c r="O149" s="19"/>
    </row>
    <row r="150" spans="1:15" ht="27.75" customHeight="1" thickBot="1" x14ac:dyDescent="0.3">
      <c r="A150" s="474" t="str">
        <f ca="1">IF(E150="","",IF(E150&gt;TODAY(),"Programado",IF(F150=TODAY()+1,"Expira amanhã",IF(F150=TODAY()+2,"Quase expirando",IF(F150=TODAY(),"Expira hoje",IF(F150&lt;=TODAY()-1,"Expirado","Ativado"))))))</f>
        <v/>
      </c>
      <c r="B150" s="480" t="s">
        <v>7</v>
      </c>
      <c r="C150" s="305" t="s">
        <v>1192</v>
      </c>
      <c r="D150" s="305" t="s">
        <v>1194</v>
      </c>
      <c r="E150" s="23"/>
      <c r="F150" s="23"/>
      <c r="G150" s="174">
        <f>'Precificação de produto'!F150</f>
        <v>999</v>
      </c>
      <c r="H150" s="512">
        <f t="shared" ca="1" si="15"/>
        <v>0</v>
      </c>
      <c r="I150" s="175">
        <f>Precificação[[#This Row],[Preço anunciado]]</f>
        <v>999</v>
      </c>
      <c r="J150" s="333" t="b">
        <f>EXACT(Descontos[[#This Row],[Nome]],Precificação[[#This Row],[Nome]])</f>
        <v>1</v>
      </c>
      <c r="K150" s="17"/>
      <c r="L150" s="18"/>
      <c r="M150" s="19"/>
      <c r="N150" s="19"/>
      <c r="O150" s="19"/>
    </row>
    <row r="151" spans="1:15" ht="27.75" customHeight="1" thickBot="1" x14ac:dyDescent="0.3">
      <c r="A151" s="474" t="str">
        <f ca="1">IF(E151="","",IF(E151&gt;TODAY(),"Programado",IF(F151=TODAY()+1,"Expira amanhã",IF(F151=TODAY()+2,"Quase expirando",IF(F151=TODAY(),"Expira hoje",IF(F151&lt;=TODAY()-1,"Expirado","Ativado"))))))</f>
        <v/>
      </c>
      <c r="B151" s="480" t="s">
        <v>7</v>
      </c>
      <c r="C151" s="305" t="s">
        <v>1195</v>
      </c>
      <c r="D151" s="305" t="s">
        <v>1197</v>
      </c>
      <c r="E151" s="23"/>
      <c r="F151" s="23"/>
      <c r="G151" s="174">
        <f>'Precificação de produto'!F151</f>
        <v>168</v>
      </c>
      <c r="H151" s="512">
        <f t="shared" ca="1" si="15"/>
        <v>0</v>
      </c>
      <c r="I151" s="175">
        <f>Precificação[[#This Row],[Preço anunciado]]</f>
        <v>168</v>
      </c>
      <c r="J151" s="333" t="b">
        <f>EXACT(Descontos[[#This Row],[Nome]],Precificação[[#This Row],[Nome]])</f>
        <v>1</v>
      </c>
      <c r="K151" s="17"/>
      <c r="L151" s="18"/>
      <c r="M151" s="19"/>
      <c r="N151" s="19"/>
      <c r="O151" s="19"/>
    </row>
    <row r="152" spans="1:15" ht="27.75" customHeight="1" thickBot="1" x14ac:dyDescent="0.3">
      <c r="A152" s="474" t="str">
        <f t="shared" ca="1" si="14"/>
        <v/>
      </c>
      <c r="B152" s="480" t="s">
        <v>7</v>
      </c>
      <c r="C152" s="305" t="s">
        <v>198</v>
      </c>
      <c r="D152" s="305" t="s">
        <v>199</v>
      </c>
      <c r="E152" s="23"/>
      <c r="F152" s="23"/>
      <c r="G152" s="174">
        <f>'Precificação de produto'!F152</f>
        <v>229.99</v>
      </c>
      <c r="H152" s="512">
        <f t="shared" ca="1" si="15"/>
        <v>0</v>
      </c>
      <c r="I152" s="175">
        <f>Precificação[[#This Row],[Preço anunciado]]</f>
        <v>0</v>
      </c>
      <c r="J152" s="333" t="b">
        <f>EXACT(Descontos[[#This Row],[Nome]],Precificação[[#This Row],[Nome]])</f>
        <v>1</v>
      </c>
      <c r="K152" s="17"/>
      <c r="L152" s="18"/>
      <c r="M152" s="19"/>
      <c r="N152" s="19"/>
      <c r="O152" s="19"/>
    </row>
    <row r="153" spans="1:15" ht="27.75" customHeight="1" thickBot="1" x14ac:dyDescent="0.3">
      <c r="A153" s="474" t="str">
        <f t="shared" ca="1" si="14"/>
        <v/>
      </c>
      <c r="B153" s="480" t="s">
        <v>7</v>
      </c>
      <c r="C153" s="305" t="s">
        <v>208</v>
      </c>
      <c r="D153" s="305" t="s">
        <v>209</v>
      </c>
      <c r="E153" s="23"/>
      <c r="F153" s="23"/>
      <c r="G153" s="174">
        <f>'Precificação de produto'!F153</f>
        <v>139.99</v>
      </c>
      <c r="H153" s="512">
        <f t="shared" ca="1" si="15"/>
        <v>0</v>
      </c>
      <c r="I153" s="175">
        <f>Precificação[[#This Row],[Preço anunciado]]</f>
        <v>0</v>
      </c>
      <c r="J153" s="333" t="b">
        <f>EXACT(Descontos[[#This Row],[Nome]],Precificação[[#This Row],[Nome]])</f>
        <v>1</v>
      </c>
      <c r="K153" s="17"/>
      <c r="L153" s="18"/>
      <c r="M153" s="19"/>
      <c r="N153" s="19"/>
      <c r="O153" s="19"/>
    </row>
    <row r="154" spans="1:15" ht="27.75" customHeight="1" thickBot="1" x14ac:dyDescent="0.3">
      <c r="A154" s="474" t="str">
        <f t="shared" ca="1" si="14"/>
        <v/>
      </c>
      <c r="B154" s="480" t="s">
        <v>7</v>
      </c>
      <c r="C154" s="305" t="s">
        <v>200</v>
      </c>
      <c r="D154" s="305" t="s">
        <v>201</v>
      </c>
      <c r="E154" s="23"/>
      <c r="F154" s="23"/>
      <c r="G154" s="174">
        <f>'Precificação de produto'!F154</f>
        <v>164.2</v>
      </c>
      <c r="H154" s="512">
        <f t="shared" ca="1" si="15"/>
        <v>0</v>
      </c>
      <c r="I154" s="175">
        <f>Precificação[[#This Row],[Preço anunciado]]</f>
        <v>0</v>
      </c>
      <c r="J154" s="333" t="b">
        <f>EXACT(Descontos[[#This Row],[Nome]],Precificação[[#This Row],[Nome]])</f>
        <v>1</v>
      </c>
      <c r="K154" s="17"/>
      <c r="L154" s="18"/>
      <c r="M154" s="19"/>
      <c r="N154" s="19"/>
      <c r="O154" s="19"/>
    </row>
    <row r="155" spans="1:15" ht="27.75" customHeight="1" x14ac:dyDescent="0.25">
      <c r="A155" s="474" t="str">
        <f t="shared" ca="1" si="14"/>
        <v/>
      </c>
      <c r="B155" s="480" t="s">
        <v>7</v>
      </c>
      <c r="C155" s="305" t="s">
        <v>186</v>
      </c>
      <c r="D155" s="305" t="s">
        <v>187</v>
      </c>
      <c r="E155" s="23"/>
      <c r="F155" s="23"/>
      <c r="G155" s="174">
        <f>'Precificação de produto'!F155</f>
        <v>433.01</v>
      </c>
      <c r="H155" s="512">
        <f t="shared" ca="1" si="15"/>
        <v>0</v>
      </c>
      <c r="I155" s="175">
        <f>Precificação[[#This Row],[Preço anunciado]]</f>
        <v>0</v>
      </c>
      <c r="J155" s="333" t="b">
        <f>EXACT(Descontos[[#This Row],[Nome]],Precificação[[#This Row],[Nome]])</f>
        <v>1</v>
      </c>
    </row>
    <row r="156" spans="1:15" ht="27.75" customHeight="1" x14ac:dyDescent="0.25">
      <c r="A156" s="474" t="str">
        <f t="shared" ca="1" si="14"/>
        <v/>
      </c>
      <c r="B156" s="480" t="s">
        <v>7</v>
      </c>
      <c r="C156" s="305" t="s">
        <v>176</v>
      </c>
      <c r="D156" s="305" t="s">
        <v>177</v>
      </c>
      <c r="E156" s="23"/>
      <c r="F156" s="23"/>
      <c r="G156" s="174">
        <f>'Precificação de produto'!F156</f>
        <v>410</v>
      </c>
      <c r="H156" s="512">
        <f t="shared" ca="1" si="15"/>
        <v>0</v>
      </c>
      <c r="I156" s="175">
        <f>Precificação[[#This Row],[Preço anunciado]]</f>
        <v>0</v>
      </c>
      <c r="J156" s="333" t="b">
        <f>EXACT(Descontos[[#This Row],[Nome]],Precificação[[#This Row],[Nome]])</f>
        <v>1</v>
      </c>
    </row>
    <row r="157" spans="1:15" ht="27.75" customHeight="1" x14ac:dyDescent="0.25">
      <c r="A157" s="474" t="str">
        <f t="shared" ca="1" si="14"/>
        <v/>
      </c>
      <c r="B157" s="480" t="s">
        <v>7</v>
      </c>
      <c r="C157" s="305" t="s">
        <v>164</v>
      </c>
      <c r="D157" s="305" t="s">
        <v>165</v>
      </c>
      <c r="E157" s="23"/>
      <c r="F157" s="23"/>
      <c r="G157" s="174">
        <f>'Precificação de produto'!F157</f>
        <v>189.3</v>
      </c>
      <c r="H157" s="512">
        <f t="shared" ca="1" si="15"/>
        <v>0</v>
      </c>
      <c r="I157" s="175">
        <f>Precificação[[#This Row],[Preço anunciado]]</f>
        <v>0</v>
      </c>
      <c r="J157" s="333" t="b">
        <f>EXACT(Descontos[[#This Row],[Nome]],Precificação[[#This Row],[Nome]])</f>
        <v>1</v>
      </c>
    </row>
    <row r="158" spans="1:15" ht="27.75" customHeight="1" x14ac:dyDescent="0.25">
      <c r="A158" s="474" t="str">
        <f t="shared" ca="1" si="14"/>
        <v/>
      </c>
      <c r="B158" s="480" t="s">
        <v>7</v>
      </c>
      <c r="C158" s="305" t="s">
        <v>166</v>
      </c>
      <c r="D158" s="305" t="s">
        <v>167</v>
      </c>
      <c r="E158" s="23"/>
      <c r="F158" s="23"/>
      <c r="G158" s="174">
        <f>'Precificação de produto'!F158</f>
        <v>189.99</v>
      </c>
      <c r="H158" s="512">
        <f t="shared" ca="1" si="15"/>
        <v>0</v>
      </c>
      <c r="I158" s="175">
        <f>Precificação[[#This Row],[Preço anunciado]]</f>
        <v>0</v>
      </c>
      <c r="J158" s="333" t="b">
        <f>EXACT(Descontos[[#This Row],[Nome]],Precificação[[#This Row],[Nome]])</f>
        <v>1</v>
      </c>
    </row>
    <row r="159" spans="1:15" ht="27.75" customHeight="1" x14ac:dyDescent="0.25">
      <c r="A159" s="474" t="str">
        <f t="shared" ca="1" si="14"/>
        <v/>
      </c>
      <c r="B159" s="480" t="s">
        <v>7</v>
      </c>
      <c r="C159" s="305" t="s">
        <v>172</v>
      </c>
      <c r="D159" s="305" t="s">
        <v>173</v>
      </c>
      <c r="E159" s="23"/>
      <c r="F159" s="23"/>
      <c r="G159" s="174">
        <f>'Precificação de produto'!F159</f>
        <v>260.2</v>
      </c>
      <c r="H159" s="512">
        <f t="shared" ca="1" si="15"/>
        <v>0</v>
      </c>
      <c r="I159" s="175">
        <f>Precificação[[#This Row],[Preço anunciado]]</f>
        <v>0</v>
      </c>
      <c r="J159" s="333" t="b">
        <f>EXACT(Descontos[[#This Row],[Nome]],Precificação[[#This Row],[Nome]])</f>
        <v>1</v>
      </c>
    </row>
    <row r="160" spans="1:15" ht="27.75" customHeight="1" x14ac:dyDescent="0.25">
      <c r="A160" s="474" t="str">
        <f t="shared" ca="1" si="14"/>
        <v/>
      </c>
      <c r="B160" s="480" t="s">
        <v>7</v>
      </c>
      <c r="C160" s="305" t="s">
        <v>206</v>
      </c>
      <c r="D160" s="305" t="s">
        <v>207</v>
      </c>
      <c r="E160" s="23"/>
      <c r="F160" s="23"/>
      <c r="G160" s="174">
        <f>'Precificação de produto'!F160</f>
        <v>149.99</v>
      </c>
      <c r="H160" s="512">
        <f t="shared" ca="1" si="15"/>
        <v>0</v>
      </c>
      <c r="I160" s="175">
        <f>Precificação[[#This Row],[Preço anunciado]]</f>
        <v>0</v>
      </c>
      <c r="J160" s="333" t="b">
        <f>EXACT(Descontos[[#This Row],[Nome]],Precificação[[#This Row],[Nome]])</f>
        <v>1</v>
      </c>
    </row>
    <row r="161" spans="1:10" ht="27.75" customHeight="1" x14ac:dyDescent="0.25">
      <c r="A161" s="474" t="str">
        <f t="shared" ca="1" si="14"/>
        <v/>
      </c>
      <c r="B161" s="480" t="s">
        <v>7</v>
      </c>
      <c r="C161" s="305" t="s">
        <v>181</v>
      </c>
      <c r="D161" s="305" t="s">
        <v>180</v>
      </c>
      <c r="E161" s="23"/>
      <c r="F161" s="23"/>
      <c r="G161" s="174">
        <f>'Precificação de produto'!F161</f>
        <v>369.99</v>
      </c>
      <c r="H161" s="512">
        <f t="shared" ca="1" si="15"/>
        <v>0</v>
      </c>
      <c r="I161" s="175">
        <f>Precificação[[#This Row],[Preço anunciado]]</f>
        <v>0</v>
      </c>
      <c r="J161" s="333" t="b">
        <f>EXACT(Descontos[[#This Row],[Nome]],Precificação[[#This Row],[Nome]])</f>
        <v>1</v>
      </c>
    </row>
    <row r="162" spans="1:10" ht="27.75" customHeight="1" x14ac:dyDescent="0.25">
      <c r="A162" s="474" t="str">
        <f t="shared" ca="1" si="14"/>
        <v/>
      </c>
      <c r="B162" s="480" t="s">
        <v>7</v>
      </c>
      <c r="C162" s="305" t="s">
        <v>210</v>
      </c>
      <c r="D162" s="305" t="s">
        <v>211</v>
      </c>
      <c r="E162" s="23"/>
      <c r="F162" s="23"/>
      <c r="G162" s="174">
        <f>'Precificação de produto'!F162</f>
        <v>49.99</v>
      </c>
      <c r="H162" s="512">
        <f t="shared" ca="1" si="15"/>
        <v>0</v>
      </c>
      <c r="I162" s="175">
        <f>Precificação[[#This Row],[Preço anunciado]]</f>
        <v>0</v>
      </c>
      <c r="J162" s="333" t="b">
        <f>EXACT(Descontos[[#This Row],[Nome]],Precificação[[#This Row],[Nome]])</f>
        <v>1</v>
      </c>
    </row>
    <row r="163" spans="1:10" ht="27.75" customHeight="1" x14ac:dyDescent="0.25">
      <c r="A163" s="474" t="str">
        <f t="shared" ca="1" si="14"/>
        <v/>
      </c>
      <c r="B163" s="480" t="s">
        <v>7</v>
      </c>
      <c r="C163" s="305" t="s">
        <v>188</v>
      </c>
      <c r="D163" s="305" t="s">
        <v>189</v>
      </c>
      <c r="E163" s="23"/>
      <c r="F163" s="23"/>
      <c r="G163" s="174">
        <f>'Precificação de produto'!F163</f>
        <v>11.2</v>
      </c>
      <c r="H163" s="512">
        <f t="shared" ca="1" si="15"/>
        <v>0</v>
      </c>
      <c r="I163" s="175">
        <f>Precificação[[#This Row],[Preço anunciado]]</f>
        <v>0</v>
      </c>
      <c r="J163" s="333" t="b">
        <f>EXACT(Descontos[[#This Row],[Nome]],Precificação[[#This Row],[Nome]])</f>
        <v>1</v>
      </c>
    </row>
    <row r="164" spans="1:10" ht="27.75" customHeight="1" x14ac:dyDescent="0.25">
      <c r="A164" s="474" t="str">
        <f t="shared" ca="1" si="14"/>
        <v/>
      </c>
      <c r="B164" s="480" t="s">
        <v>7</v>
      </c>
      <c r="C164" s="305" t="s">
        <v>190</v>
      </c>
      <c r="D164" s="305" t="s">
        <v>191</v>
      </c>
      <c r="E164" s="23"/>
      <c r="F164" s="23"/>
      <c r="G164" s="174">
        <f>'Precificação de produto'!F164</f>
        <v>227.69</v>
      </c>
      <c r="H164" s="512">
        <f t="shared" ca="1" si="15"/>
        <v>0</v>
      </c>
      <c r="I164" s="175">
        <f>Precificação[[#This Row],[Preço anunciado]]</f>
        <v>0</v>
      </c>
      <c r="J164" s="333" t="b">
        <f>EXACT(Descontos[[#This Row],[Nome]],Precificação[[#This Row],[Nome]])</f>
        <v>1</v>
      </c>
    </row>
    <row r="165" spans="1:10" ht="27.75" customHeight="1" x14ac:dyDescent="0.25">
      <c r="A165" s="474" t="str">
        <f t="shared" ref="A165:A179" ca="1" si="16">IF(E165="","",IF(E165&gt;TODAY(),"Programado",IF(F165=TODAY()+1,"Expira amanhã",IF(F165=TODAY()+2,"Quase expirando",IF(F165=TODAY(),"Expira hoje",IF(F165&lt;=TODAY()-1,"Expirado","Ativado"))))))</f>
        <v/>
      </c>
      <c r="B165" s="480" t="s">
        <v>7</v>
      </c>
      <c r="C165" s="305" t="s">
        <v>204</v>
      </c>
      <c r="D165" s="305" t="s">
        <v>205</v>
      </c>
      <c r="E165" s="23"/>
      <c r="F165" s="23"/>
      <c r="G165" s="174">
        <f>'Precificação de produto'!F165</f>
        <v>229.99</v>
      </c>
      <c r="H165" s="512">
        <f t="shared" ca="1" si="15"/>
        <v>0</v>
      </c>
      <c r="I165" s="175">
        <f>Precificação[[#This Row],[Preço anunciado]]</f>
        <v>0</v>
      </c>
      <c r="J165" s="333" t="b">
        <f>EXACT(Descontos[[#This Row],[Nome]],Precificação[[#This Row],[Nome]])</f>
        <v>1</v>
      </c>
    </row>
    <row r="166" spans="1:10" ht="27.75" customHeight="1" x14ac:dyDescent="0.25">
      <c r="A166" s="474" t="str">
        <f t="shared" ca="1" si="16"/>
        <v/>
      </c>
      <c r="B166" s="480" t="s">
        <v>7</v>
      </c>
      <c r="C166" s="305" t="s">
        <v>202</v>
      </c>
      <c r="D166" s="305" t="s">
        <v>203</v>
      </c>
      <c r="E166" s="23"/>
      <c r="F166" s="23"/>
      <c r="G166" s="174">
        <f>'Precificação de produto'!F166</f>
        <v>149.99</v>
      </c>
      <c r="H166" s="512">
        <f t="shared" ca="1" si="15"/>
        <v>0</v>
      </c>
      <c r="I166" s="175">
        <f>Precificação[[#This Row],[Preço anunciado]]</f>
        <v>0</v>
      </c>
      <c r="J166" s="333" t="b">
        <f>EXACT(Descontos[[#This Row],[Nome]],Precificação[[#This Row],[Nome]])</f>
        <v>1</v>
      </c>
    </row>
    <row r="167" spans="1:10" ht="27.75" customHeight="1" x14ac:dyDescent="0.25">
      <c r="A167" s="474" t="str">
        <f t="shared" ca="1" si="16"/>
        <v/>
      </c>
      <c r="B167" s="480" t="s">
        <v>7</v>
      </c>
      <c r="C167" s="305" t="s">
        <v>174</v>
      </c>
      <c r="D167" s="305" t="s">
        <v>175</v>
      </c>
      <c r="E167" s="23"/>
      <c r="F167" s="23"/>
      <c r="G167" s="174">
        <f>'Precificação de produto'!F167</f>
        <v>322.86</v>
      </c>
      <c r="H167" s="512">
        <f t="shared" ca="1" si="15"/>
        <v>0</v>
      </c>
      <c r="I167" s="175">
        <f>Precificação[[#This Row],[Preço anunciado]]</f>
        <v>0</v>
      </c>
      <c r="J167" s="333" t="b">
        <f>EXACT(Descontos[[#This Row],[Nome]],Precificação[[#This Row],[Nome]])</f>
        <v>1</v>
      </c>
    </row>
    <row r="168" spans="1:10" ht="27.75" customHeight="1" x14ac:dyDescent="0.25">
      <c r="A168" s="474" t="str">
        <f t="shared" ca="1" si="16"/>
        <v/>
      </c>
      <c r="B168" s="480" t="s">
        <v>7</v>
      </c>
      <c r="C168" s="305" t="s">
        <v>194</v>
      </c>
      <c r="D168" s="305" t="s">
        <v>195</v>
      </c>
      <c r="E168" s="23"/>
      <c r="F168" s="23"/>
      <c r="G168" s="174">
        <f>'Precificação de produto'!F168</f>
        <v>248</v>
      </c>
      <c r="H168" s="512">
        <f t="shared" ca="1" si="15"/>
        <v>0</v>
      </c>
      <c r="I168" s="175">
        <f>Precificação[[#This Row],[Preço anunciado]]</f>
        <v>0</v>
      </c>
      <c r="J168" s="333" t="b">
        <f>EXACT(Descontos[[#This Row],[Nome]],Precificação[[#This Row],[Nome]])</f>
        <v>1</v>
      </c>
    </row>
    <row r="169" spans="1:10" ht="27.75" customHeight="1" x14ac:dyDescent="0.25">
      <c r="A169" s="474" t="str">
        <f t="shared" ca="1" si="16"/>
        <v/>
      </c>
      <c r="B169" s="480" t="s">
        <v>7</v>
      </c>
      <c r="C169" s="305" t="s">
        <v>192</v>
      </c>
      <c r="D169" s="305" t="s">
        <v>193</v>
      </c>
      <c r="E169" s="23"/>
      <c r="F169" s="23"/>
      <c r="G169" s="174">
        <f>'Precificação de produto'!F169</f>
        <v>984.99</v>
      </c>
      <c r="H169" s="512">
        <f t="shared" ca="1" si="15"/>
        <v>0</v>
      </c>
      <c r="I169" s="175">
        <f>Precificação[[#This Row],[Preço anunciado]]</f>
        <v>0</v>
      </c>
      <c r="J169" s="333" t="b">
        <f>EXACT(Descontos[[#This Row],[Nome]],Precificação[[#This Row],[Nome]])</f>
        <v>1</v>
      </c>
    </row>
    <row r="170" spans="1:10" ht="27.75" customHeight="1" x14ac:dyDescent="0.25">
      <c r="A170" s="474" t="str">
        <f t="shared" ca="1" si="16"/>
        <v/>
      </c>
      <c r="B170" s="480" t="s">
        <v>7</v>
      </c>
      <c r="C170" s="305" t="s">
        <v>146</v>
      </c>
      <c r="D170" s="305" t="s">
        <v>147</v>
      </c>
      <c r="E170" s="23"/>
      <c r="F170" s="23"/>
      <c r="G170" s="174">
        <f>'Precificação de produto'!F170</f>
        <v>35</v>
      </c>
      <c r="H170" s="512">
        <f t="shared" ca="1" si="15"/>
        <v>0</v>
      </c>
      <c r="I170" s="175">
        <f>Precificação[[#This Row],[Preço anunciado]]</f>
        <v>0</v>
      </c>
      <c r="J170" s="333" t="b">
        <f>EXACT(Descontos[[#This Row],[Nome]],Precificação[[#This Row],[Nome]])</f>
        <v>1</v>
      </c>
    </row>
    <row r="171" spans="1:10" ht="27.75" customHeight="1" x14ac:dyDescent="0.25">
      <c r="A171" s="474" t="str">
        <f t="shared" ca="1" si="16"/>
        <v/>
      </c>
      <c r="B171" s="480" t="s">
        <v>7</v>
      </c>
      <c r="C171" s="305" t="s">
        <v>142</v>
      </c>
      <c r="D171" s="305" t="s">
        <v>143</v>
      </c>
      <c r="E171" s="23"/>
      <c r="F171" s="23"/>
      <c r="G171" s="174">
        <f>'Precificação de produto'!F171</f>
        <v>35</v>
      </c>
      <c r="H171" s="512">
        <f t="shared" ca="1" si="15"/>
        <v>0</v>
      </c>
      <c r="I171" s="175">
        <f>Precificação[[#This Row],[Preço anunciado]]</f>
        <v>0</v>
      </c>
      <c r="J171" s="333" t="b">
        <f>EXACT(Descontos[[#This Row],[Nome]],Precificação[[#This Row],[Nome]])</f>
        <v>1</v>
      </c>
    </row>
    <row r="172" spans="1:10" ht="27.75" customHeight="1" x14ac:dyDescent="0.25">
      <c r="A172" s="474" t="str">
        <f t="shared" ca="1" si="16"/>
        <v/>
      </c>
      <c r="B172" s="480" t="s">
        <v>7</v>
      </c>
      <c r="C172" s="305" t="s">
        <v>148</v>
      </c>
      <c r="D172" s="305" t="s">
        <v>149</v>
      </c>
      <c r="E172" s="23"/>
      <c r="F172" s="23"/>
      <c r="G172" s="174">
        <f>'Precificação de produto'!F172</f>
        <v>35</v>
      </c>
      <c r="H172" s="512">
        <f t="shared" ca="1" si="15"/>
        <v>0</v>
      </c>
      <c r="I172" s="175">
        <f>Precificação[[#This Row],[Preço anunciado]]</f>
        <v>0</v>
      </c>
      <c r="J172" s="333" t="b">
        <f>EXACT(Descontos[[#This Row],[Nome]],Precificação[[#This Row],[Nome]])</f>
        <v>1</v>
      </c>
    </row>
    <row r="173" spans="1:10" ht="27.75" customHeight="1" x14ac:dyDescent="0.25">
      <c r="A173" s="474" t="str">
        <f t="shared" ca="1" si="16"/>
        <v/>
      </c>
      <c r="B173" s="480" t="s">
        <v>7</v>
      </c>
      <c r="C173" s="305" t="s">
        <v>144</v>
      </c>
      <c r="D173" s="305" t="s">
        <v>145</v>
      </c>
      <c r="E173" s="23"/>
      <c r="F173" s="23"/>
      <c r="G173" s="174">
        <f>'Precificação de produto'!F173</f>
        <v>35</v>
      </c>
      <c r="H173" s="512">
        <f t="shared" ca="1" si="15"/>
        <v>0</v>
      </c>
      <c r="I173" s="175">
        <f>Precificação[[#This Row],[Preço anunciado]]</f>
        <v>0</v>
      </c>
      <c r="J173" s="333" t="b">
        <f>EXACT(Descontos[[#This Row],[Nome]],Precificação[[#This Row],[Nome]])</f>
        <v>1</v>
      </c>
    </row>
    <row r="174" spans="1:10" ht="27.75" customHeight="1" x14ac:dyDescent="0.25">
      <c r="A174" s="474" t="str">
        <f t="shared" ca="1" si="16"/>
        <v/>
      </c>
      <c r="B174" s="480" t="s">
        <v>7</v>
      </c>
      <c r="C174" s="305" t="s">
        <v>168</v>
      </c>
      <c r="D174" s="305" t="s">
        <v>169</v>
      </c>
      <c r="E174" s="23"/>
      <c r="F174" s="23"/>
      <c r="G174" s="174">
        <f>'Precificação de produto'!F174</f>
        <v>1820</v>
      </c>
      <c r="H174" s="512">
        <f t="shared" ca="1" si="15"/>
        <v>0</v>
      </c>
      <c r="I174" s="175">
        <f>Precificação[[#This Row],[Preço anunciado]]</f>
        <v>0</v>
      </c>
      <c r="J174" s="333" t="b">
        <f>EXACT(Descontos[[#This Row],[Nome]],Precificação[[#This Row],[Nome]])</f>
        <v>1</v>
      </c>
    </row>
    <row r="175" spans="1:10" ht="27.75" customHeight="1" x14ac:dyDescent="0.25">
      <c r="A175" s="474" t="str">
        <f t="shared" ca="1" si="16"/>
        <v/>
      </c>
      <c r="B175" s="480" t="s">
        <v>7</v>
      </c>
      <c r="C175" s="305" t="s">
        <v>196</v>
      </c>
      <c r="D175" s="305" t="s">
        <v>197</v>
      </c>
      <c r="E175" s="23"/>
      <c r="F175" s="23"/>
      <c r="G175" s="174">
        <f>'Precificação de produto'!F175</f>
        <v>322.86</v>
      </c>
      <c r="H175" s="512">
        <f t="shared" ca="1" si="15"/>
        <v>0</v>
      </c>
      <c r="I175" s="175">
        <f>Precificação[[#This Row],[Preço anunciado]]</f>
        <v>0</v>
      </c>
      <c r="J175" s="333" t="b">
        <f>EXACT(Descontos[[#This Row],[Nome]],Precificação[[#This Row],[Nome]])</f>
        <v>1</v>
      </c>
    </row>
    <row r="176" spans="1:10" ht="27.75" customHeight="1" x14ac:dyDescent="0.25">
      <c r="A176" s="474" t="str">
        <f t="shared" ca="1" si="16"/>
        <v/>
      </c>
      <c r="B176" s="480" t="s">
        <v>7</v>
      </c>
      <c r="C176" s="305" t="s">
        <v>170</v>
      </c>
      <c r="D176" s="305" t="s">
        <v>171</v>
      </c>
      <c r="E176" s="23"/>
      <c r="F176" s="23"/>
      <c r="G176" s="174">
        <f>'Precificação de produto'!F176</f>
        <v>1599.99</v>
      </c>
      <c r="H176" s="512">
        <f t="shared" ca="1" si="15"/>
        <v>0</v>
      </c>
      <c r="I176" s="175">
        <f>Precificação[[#This Row],[Preço anunciado]]</f>
        <v>0</v>
      </c>
      <c r="J176" s="333" t="b">
        <f>EXACT(Descontos[[#This Row],[Nome]],Precificação[[#This Row],[Nome]])</f>
        <v>1</v>
      </c>
    </row>
    <row r="177" spans="1:10" ht="27.75" customHeight="1" x14ac:dyDescent="0.25">
      <c r="A177" s="474" t="str">
        <f t="shared" ca="1" si="16"/>
        <v/>
      </c>
      <c r="B177" s="480" t="s">
        <v>7</v>
      </c>
      <c r="C177" s="305" t="s">
        <v>184</v>
      </c>
      <c r="D177" s="305" t="s">
        <v>185</v>
      </c>
      <c r="E177" s="23"/>
      <c r="F177" s="23"/>
      <c r="G177" s="174">
        <f>'Precificação de produto'!F177</f>
        <v>9.99</v>
      </c>
      <c r="H177" s="512">
        <f t="shared" ca="1" si="15"/>
        <v>0</v>
      </c>
      <c r="I177" s="175">
        <f>Precificação[[#This Row],[Preço anunciado]]</f>
        <v>0</v>
      </c>
      <c r="J177" s="333" t="b">
        <f>EXACT(Descontos[[#This Row],[Nome]],Precificação[[#This Row],[Nome]])</f>
        <v>1</v>
      </c>
    </row>
    <row r="178" spans="1:10" ht="27.75" customHeight="1" x14ac:dyDescent="0.25">
      <c r="A178" s="474" t="str">
        <f t="shared" ca="1" si="16"/>
        <v/>
      </c>
      <c r="B178" s="480" t="s">
        <v>7</v>
      </c>
      <c r="C178" s="305" t="s">
        <v>178</v>
      </c>
      <c r="D178" s="305" t="s">
        <v>179</v>
      </c>
      <c r="E178" s="23"/>
      <c r="F178" s="23"/>
      <c r="G178" s="174">
        <f>'Precificação de produto'!F178</f>
        <v>189.92</v>
      </c>
      <c r="H178" s="512">
        <f t="shared" ca="1" si="15"/>
        <v>0</v>
      </c>
      <c r="I178" s="175">
        <f>Precificação[[#This Row],[Preço anunciado]]</f>
        <v>0</v>
      </c>
      <c r="J178" s="333" t="b">
        <f>EXACT(Descontos[[#This Row],[Nome]],Precificação[[#This Row],[Nome]])</f>
        <v>1</v>
      </c>
    </row>
    <row r="179" spans="1:10" ht="27.75" customHeight="1" x14ac:dyDescent="0.25">
      <c r="A179" s="474" t="str">
        <f t="shared" ca="1" si="16"/>
        <v/>
      </c>
      <c r="B179" s="480" t="s">
        <v>7</v>
      </c>
      <c r="C179" s="305" t="s">
        <v>182</v>
      </c>
      <c r="D179" s="305" t="s">
        <v>183</v>
      </c>
      <c r="E179" s="23"/>
      <c r="F179" s="23"/>
      <c r="G179" s="174">
        <f>'Precificação de produto'!F179</f>
        <v>529.99</v>
      </c>
      <c r="H179" s="512">
        <f t="shared" ca="1" si="15"/>
        <v>0</v>
      </c>
      <c r="I179" s="175">
        <f>Precificação[[#This Row],[Preço anunciado]]</f>
        <v>0</v>
      </c>
      <c r="J179" s="333" t="b">
        <f>EXACT(Descontos[[#This Row],[Nome]],Precificação[[#This Row],[Nome]])</f>
        <v>1</v>
      </c>
    </row>
    <row r="180" spans="1:10" ht="23.25" customHeight="1" x14ac:dyDescent="0.25">
      <c r="A180" s="475"/>
      <c r="B180" s="477"/>
    </row>
    <row r="181" spans="1:10" ht="23.25" customHeight="1" x14ac:dyDescent="0.25">
      <c r="A181" s="475"/>
      <c r="B181" s="477"/>
    </row>
    <row r="182" spans="1:10" ht="23.25" customHeight="1" x14ac:dyDescent="0.25">
      <c r="A182" s="475"/>
      <c r="B182" s="477"/>
    </row>
    <row r="183" spans="1:10" ht="23.25" customHeight="1" x14ac:dyDescent="0.25">
      <c r="A183" s="475"/>
      <c r="B183" s="477"/>
    </row>
    <row r="184" spans="1:10" ht="23.25" customHeight="1" x14ac:dyDescent="0.25">
      <c r="A184" s="475"/>
      <c r="B184" s="477"/>
    </row>
    <row r="185" spans="1:10" ht="23.25" customHeight="1" x14ac:dyDescent="0.25">
      <c r="A185" s="475"/>
      <c r="B185" s="477"/>
    </row>
    <row r="186" spans="1:10" ht="23.25" customHeight="1" x14ac:dyDescent="0.25">
      <c r="A186" s="475"/>
      <c r="B186" s="477"/>
    </row>
    <row r="187" spans="1:10" ht="23.25" customHeight="1" x14ac:dyDescent="0.25">
      <c r="A187" s="475"/>
      <c r="B187" s="477"/>
    </row>
    <row r="188" spans="1:10" ht="23.25" customHeight="1" x14ac:dyDescent="0.25">
      <c r="A188" s="475"/>
      <c r="B188" s="477"/>
    </row>
    <row r="189" spans="1:10" ht="23.25" customHeight="1" x14ac:dyDescent="0.25">
      <c r="A189" s="475"/>
      <c r="B189" s="477"/>
    </row>
    <row r="190" spans="1:10" ht="23.25" customHeight="1" x14ac:dyDescent="0.25">
      <c r="A190" s="475"/>
      <c r="B190" s="477"/>
    </row>
    <row r="191" spans="1:10" ht="23.25" customHeight="1" x14ac:dyDescent="0.25">
      <c r="A191" s="475"/>
      <c r="B191" s="477"/>
    </row>
    <row r="192" spans="1:10" ht="23.25" customHeight="1" x14ac:dyDescent="0.25">
      <c r="A192" s="475"/>
      <c r="B192" s="477"/>
    </row>
    <row r="193" spans="1:2" ht="23.25" customHeight="1" x14ac:dyDescent="0.25">
      <c r="A193" s="475"/>
      <c r="B193" s="477"/>
    </row>
    <row r="194" spans="1:2" ht="23.25" customHeight="1" x14ac:dyDescent="0.25">
      <c r="A194" s="475"/>
      <c r="B194" s="477"/>
    </row>
    <row r="195" spans="1:2" ht="23.25" customHeight="1" x14ac:dyDescent="0.25">
      <c r="A195" s="475"/>
      <c r="B195" s="477"/>
    </row>
    <row r="196" spans="1:2" ht="23.25" customHeight="1" x14ac:dyDescent="0.25">
      <c r="A196" s="475"/>
      <c r="B196" s="477"/>
    </row>
    <row r="197" spans="1:2" ht="23.25" customHeight="1" x14ac:dyDescent="0.25">
      <c r="A197" s="475"/>
      <c r="B197" s="477"/>
    </row>
    <row r="198" spans="1:2" ht="23.25" customHeight="1" x14ac:dyDescent="0.25">
      <c r="A198" s="475"/>
      <c r="B198" s="477"/>
    </row>
    <row r="199" spans="1:2" ht="23.25" customHeight="1" x14ac:dyDescent="0.25">
      <c r="A199" s="475"/>
      <c r="B199" s="477"/>
    </row>
    <row r="200" spans="1:2" ht="23.25" customHeight="1" x14ac:dyDescent="0.25">
      <c r="A200" s="475"/>
      <c r="B200" s="477"/>
    </row>
    <row r="201" spans="1:2" ht="23.25" customHeight="1" x14ac:dyDescent="0.25">
      <c r="A201" s="475"/>
      <c r="B201" s="477"/>
    </row>
    <row r="202" spans="1:2" ht="23.25" customHeight="1" x14ac:dyDescent="0.25">
      <c r="A202" s="475"/>
      <c r="B202" s="477"/>
    </row>
    <row r="203" spans="1:2" ht="23.25" customHeight="1" x14ac:dyDescent="0.25">
      <c r="A203" s="475"/>
      <c r="B203" s="477"/>
    </row>
    <row r="204" spans="1:2" ht="23.25" customHeight="1" x14ac:dyDescent="0.25">
      <c r="A204" s="475"/>
      <c r="B204" s="477"/>
    </row>
    <row r="205" spans="1:2" ht="23.25" customHeight="1" x14ac:dyDescent="0.25">
      <c r="A205" s="475"/>
      <c r="B205" s="477"/>
    </row>
    <row r="206" spans="1:2" ht="23.25" customHeight="1" x14ac:dyDescent="0.25">
      <c r="A206" s="475"/>
      <c r="B206" s="477"/>
    </row>
    <row r="207" spans="1:2" ht="23.25" customHeight="1" x14ac:dyDescent="0.25">
      <c r="A207" s="475"/>
      <c r="B207" s="477"/>
    </row>
    <row r="208" spans="1:2" ht="23.25" customHeight="1" x14ac:dyDescent="0.25">
      <c r="A208" s="475"/>
      <c r="B208" s="477"/>
    </row>
    <row r="209" spans="1:2" ht="23.25" customHeight="1" x14ac:dyDescent="0.25">
      <c r="A209" s="475"/>
      <c r="B209" s="477"/>
    </row>
    <row r="210" spans="1:2" ht="23.25" customHeight="1" x14ac:dyDescent="0.25">
      <c r="A210" s="475"/>
      <c r="B210" s="477"/>
    </row>
    <row r="211" spans="1:2" ht="23.25" customHeight="1" x14ac:dyDescent="0.25">
      <c r="A211" s="475"/>
      <c r="B211" s="477"/>
    </row>
    <row r="212" spans="1:2" ht="23.25" customHeight="1" x14ac:dyDescent="0.25">
      <c r="A212" s="475"/>
      <c r="B212" s="477"/>
    </row>
    <row r="213" spans="1:2" ht="23.25" customHeight="1" x14ac:dyDescent="0.25">
      <c r="A213" s="475"/>
      <c r="B213" s="477"/>
    </row>
    <row r="214" spans="1:2" ht="23.25" customHeight="1" x14ac:dyDescent="0.25">
      <c r="A214" s="475"/>
      <c r="B214" s="477"/>
    </row>
    <row r="215" spans="1:2" ht="23.25" customHeight="1" x14ac:dyDescent="0.25">
      <c r="A215" s="475"/>
      <c r="B215" s="477"/>
    </row>
    <row r="216" spans="1:2" ht="23.25" customHeight="1" x14ac:dyDescent="0.25">
      <c r="A216" s="475"/>
      <c r="B216" s="477"/>
    </row>
    <row r="217" spans="1:2" ht="23.25" customHeight="1" x14ac:dyDescent="0.25">
      <c r="A217" s="475"/>
      <c r="B217" s="477"/>
    </row>
    <row r="218" spans="1:2" ht="23.25" customHeight="1" x14ac:dyDescent="0.25">
      <c r="A218" s="475"/>
      <c r="B218" s="477"/>
    </row>
    <row r="219" spans="1:2" ht="23.25" customHeight="1" x14ac:dyDescent="0.25">
      <c r="A219" s="475"/>
      <c r="B219" s="477"/>
    </row>
    <row r="220" spans="1:2" ht="23.25" customHeight="1" x14ac:dyDescent="0.25">
      <c r="A220" s="475"/>
      <c r="B220" s="477"/>
    </row>
    <row r="221" spans="1:2" ht="23.25" customHeight="1" x14ac:dyDescent="0.25">
      <c r="A221" s="475"/>
      <c r="B221" s="477"/>
    </row>
    <row r="222" spans="1:2" ht="23.25" customHeight="1" x14ac:dyDescent="0.25">
      <c r="A222" s="475"/>
      <c r="B222" s="477"/>
    </row>
    <row r="223" spans="1:2" ht="23.25" customHeight="1" x14ac:dyDescent="0.25">
      <c r="A223" s="475"/>
      <c r="B223" s="477"/>
    </row>
    <row r="224" spans="1:2" ht="23.25" customHeight="1" x14ac:dyDescent="0.25">
      <c r="A224" s="475"/>
      <c r="B224" s="477"/>
    </row>
    <row r="225" spans="1:2" ht="23.25" customHeight="1" x14ac:dyDescent="0.25">
      <c r="A225" s="475"/>
      <c r="B225" s="477"/>
    </row>
    <row r="226" spans="1:2" ht="23.25" customHeight="1" x14ac:dyDescent="0.25">
      <c r="A226" s="475"/>
      <c r="B226" s="477"/>
    </row>
    <row r="227" spans="1:2" ht="23.25" customHeight="1" x14ac:dyDescent="0.25">
      <c r="A227" s="475"/>
      <c r="B227" s="477"/>
    </row>
    <row r="228" spans="1:2" ht="23.25" customHeight="1" x14ac:dyDescent="0.25">
      <c r="A228" s="475"/>
      <c r="B228" s="477"/>
    </row>
    <row r="229" spans="1:2" ht="23.25" customHeight="1" x14ac:dyDescent="0.25">
      <c r="A229" s="475"/>
      <c r="B229" s="477"/>
    </row>
    <row r="230" spans="1:2" ht="23.25" customHeight="1" x14ac:dyDescent="0.25">
      <c r="A230" s="475"/>
      <c r="B230" s="477"/>
    </row>
    <row r="231" spans="1:2" ht="23.25" customHeight="1" x14ac:dyDescent="0.25">
      <c r="A231" s="475"/>
      <c r="B231" s="477"/>
    </row>
    <row r="232" spans="1:2" ht="23.25" customHeight="1" x14ac:dyDescent="0.25">
      <c r="A232" s="475"/>
      <c r="B232" s="477"/>
    </row>
    <row r="233" spans="1:2" ht="23.25" customHeight="1" x14ac:dyDescent="0.25">
      <c r="A233" s="475"/>
      <c r="B233" s="477"/>
    </row>
    <row r="234" spans="1:2" ht="23.25" customHeight="1" x14ac:dyDescent="0.25">
      <c r="A234" s="475"/>
      <c r="B234" s="477"/>
    </row>
    <row r="235" spans="1:2" ht="23.25" customHeight="1" x14ac:dyDescent="0.25">
      <c r="A235" s="475"/>
      <c r="B235" s="477"/>
    </row>
    <row r="236" spans="1:2" ht="23.25" customHeight="1" x14ac:dyDescent="0.25">
      <c r="A236" s="475"/>
      <c r="B236" s="477"/>
    </row>
    <row r="237" spans="1:2" ht="23.25" customHeight="1" x14ac:dyDescent="0.25">
      <c r="A237" s="475"/>
      <c r="B237" s="477"/>
    </row>
    <row r="238" spans="1:2" ht="23.25" customHeight="1" x14ac:dyDescent="0.25">
      <c r="A238" s="475"/>
      <c r="B238" s="477"/>
    </row>
    <row r="239" spans="1:2" ht="23.25" customHeight="1" x14ac:dyDescent="0.25">
      <c r="A239" s="475"/>
      <c r="B239" s="477"/>
    </row>
    <row r="240" spans="1:2" ht="23.25" customHeight="1" x14ac:dyDescent="0.25">
      <c r="A240" s="475"/>
      <c r="B240" s="477"/>
    </row>
    <row r="241" spans="1:2" ht="23.25" customHeight="1" x14ac:dyDescent="0.25">
      <c r="A241" s="475"/>
      <c r="B241" s="477"/>
    </row>
    <row r="242" spans="1:2" ht="23.25" customHeight="1" x14ac:dyDescent="0.25">
      <c r="A242" s="475"/>
      <c r="B242" s="477"/>
    </row>
    <row r="243" spans="1:2" ht="23.25" customHeight="1" x14ac:dyDescent="0.25">
      <c r="A243" s="475"/>
      <c r="B243" s="477"/>
    </row>
    <row r="244" spans="1:2" ht="23.25" customHeight="1" x14ac:dyDescent="0.25">
      <c r="A244" s="475"/>
      <c r="B244" s="477"/>
    </row>
    <row r="245" spans="1:2" ht="23.25" customHeight="1" x14ac:dyDescent="0.25">
      <c r="A245" s="475"/>
      <c r="B245" s="477"/>
    </row>
    <row r="246" spans="1:2" ht="23.25" customHeight="1" x14ac:dyDescent="0.25">
      <c r="A246" s="475"/>
      <c r="B246" s="477"/>
    </row>
    <row r="247" spans="1:2" ht="23.25" customHeight="1" x14ac:dyDescent="0.25">
      <c r="A247" s="475"/>
      <c r="B247" s="477"/>
    </row>
    <row r="248" spans="1:2" ht="23.25" customHeight="1" x14ac:dyDescent="0.25">
      <c r="A248" s="475"/>
      <c r="B248" s="477"/>
    </row>
    <row r="249" spans="1:2" ht="23.25" customHeight="1" x14ac:dyDescent="0.25">
      <c r="A249" s="475"/>
      <c r="B249" s="477"/>
    </row>
    <row r="250" spans="1:2" ht="23.25" customHeight="1" x14ac:dyDescent="0.25">
      <c r="A250" s="475"/>
      <c r="B250" s="477"/>
    </row>
    <row r="251" spans="1:2" ht="23.25" customHeight="1" x14ac:dyDescent="0.25">
      <c r="A251" s="475"/>
      <c r="B251" s="477"/>
    </row>
    <row r="252" spans="1:2" ht="23.25" customHeight="1" x14ac:dyDescent="0.25">
      <c r="A252" s="475"/>
      <c r="B252" s="477"/>
    </row>
    <row r="253" spans="1:2" ht="23.25" customHeight="1" x14ac:dyDescent="0.25">
      <c r="A253" s="475"/>
      <c r="B253" s="477"/>
    </row>
    <row r="254" spans="1:2" ht="23.25" customHeight="1" x14ac:dyDescent="0.25">
      <c r="A254" s="475"/>
      <c r="B254" s="477"/>
    </row>
    <row r="255" spans="1:2" ht="23.25" customHeight="1" x14ac:dyDescent="0.25">
      <c r="A255" s="475"/>
      <c r="B255" s="477"/>
    </row>
    <row r="256" spans="1:2" ht="23.25" customHeight="1" x14ac:dyDescent="0.25">
      <c r="A256" s="475"/>
      <c r="B256" s="477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A2:H2"/>
  </mergeCells>
  <conditionalFormatting sqref="A148:B148 A93:B142 A165:B1048576 A152:B161 A70:A179 B149:B179 A11:A41">
    <cfRule type="cellIs" dxfId="1224" priority="1552" operator="equal">
      <formula>"Expirado"</formula>
    </cfRule>
  </conditionalFormatting>
  <conditionalFormatting sqref="A70:A179 A11:A41">
    <cfRule type="cellIs" dxfId="1223" priority="1495" operator="equal">
      <formula>"Quase expirando"</formula>
    </cfRule>
    <cfRule type="cellIs" dxfId="1222" priority="1545" operator="equal">
      <formula>"Ativado"</formula>
    </cfRule>
  </conditionalFormatting>
  <conditionalFormatting sqref="A70:A1048576 A11:A41">
    <cfRule type="cellIs" dxfId="1221" priority="1544" operator="equal">
      <formula>"Programado"</formula>
    </cfRule>
  </conditionalFormatting>
  <conditionalFormatting sqref="A70:A213 A11:A41">
    <cfRule type="cellIs" dxfId="1220" priority="1496" operator="equal">
      <formula>"Expira amanhã"</formula>
    </cfRule>
  </conditionalFormatting>
  <conditionalFormatting sqref="A70:A179 A11:A41">
    <cfRule type="cellIs" dxfId="1219" priority="1491" operator="equal">
      <formula>"Expira hoje"</formula>
    </cfRule>
  </conditionalFormatting>
  <conditionalFormatting sqref="C180:C1048576 C70:C111 C1:C3 C114 C116:C147 C149:C151">
    <cfRule type="duplicateValues" dxfId="1218" priority="1487"/>
  </conditionalFormatting>
  <conditionalFormatting sqref="H3 H180:H1048576">
    <cfRule type="cellIs" dxfId="1217" priority="1486" operator="equal">
      <formula>0</formula>
    </cfRule>
  </conditionalFormatting>
  <conditionalFormatting sqref="D180:D1048576 D70:D81 D3 D114 D116:D142 D83:D111">
    <cfRule type="duplicateValues" dxfId="1216" priority="1483"/>
  </conditionalFormatting>
  <conditionalFormatting sqref="G70:G179 H66:H179 C66:D81 B11:B37 G11:H37 C83:D179 C82">
    <cfRule type="timePeriod" dxfId="1215" priority="1482" timePeriod="tomorrow">
      <formula>FLOOR(B11,1)=TODAY()+1</formula>
    </cfRule>
  </conditionalFormatting>
  <conditionalFormatting sqref="B143">
    <cfRule type="cellIs" dxfId="1214" priority="1479" operator="equal">
      <formula>"Expirado"</formula>
    </cfRule>
  </conditionalFormatting>
  <conditionalFormatting sqref="B144">
    <cfRule type="cellIs" dxfId="1213" priority="1478" operator="equal">
      <formula>"Expirado"</formula>
    </cfRule>
  </conditionalFormatting>
  <conditionalFormatting sqref="B145">
    <cfRule type="cellIs" dxfId="1212" priority="1477" operator="equal">
      <formula>"Expirado"</formula>
    </cfRule>
  </conditionalFormatting>
  <conditionalFormatting sqref="B146">
    <cfRule type="cellIs" dxfId="1211" priority="1476" operator="equal">
      <formula>"Expirado"</formula>
    </cfRule>
  </conditionalFormatting>
  <conditionalFormatting sqref="B147">
    <cfRule type="cellIs" dxfId="1210" priority="1475" operator="equal">
      <formula>"Expirado"</formula>
    </cfRule>
  </conditionalFormatting>
  <conditionalFormatting sqref="A2:B2">
    <cfRule type="cellIs" dxfId="1209" priority="1474" operator="equal">
      <formula>"Programado"</formula>
    </cfRule>
  </conditionalFormatting>
  <conditionalFormatting sqref="A69">
    <cfRule type="cellIs" dxfId="1208" priority="1306" operator="equal">
      <formula>"Expirado"</formula>
    </cfRule>
  </conditionalFormatting>
  <conditionalFormatting sqref="A69">
    <cfRule type="cellIs" dxfId="1207" priority="1302" operator="equal">
      <formula>"Quase expirando"</formula>
    </cfRule>
    <cfRule type="cellIs" dxfId="1206" priority="1305" operator="equal">
      <formula>"Ativado"</formula>
    </cfRule>
  </conditionalFormatting>
  <conditionalFormatting sqref="A69">
    <cfRule type="cellIs" dxfId="1205" priority="1304" operator="equal">
      <formula>"Programado"</formula>
    </cfRule>
  </conditionalFormatting>
  <conditionalFormatting sqref="A69">
    <cfRule type="cellIs" dxfId="1204" priority="1303" operator="equal">
      <formula>"Expira amanhã"</formula>
    </cfRule>
  </conditionalFormatting>
  <conditionalFormatting sqref="A69">
    <cfRule type="cellIs" dxfId="1203" priority="1301" operator="equal">
      <formula>"Expira hoje"</formula>
    </cfRule>
  </conditionalFormatting>
  <conditionalFormatting sqref="G69">
    <cfRule type="timePeriod" dxfId="1202" priority="1298" timePeriod="tomorrow">
      <formula>FLOOR(G69,1)=TODAY()+1</formula>
    </cfRule>
  </conditionalFormatting>
  <conditionalFormatting sqref="B69">
    <cfRule type="timePeriod" dxfId="1201" priority="1295" timePeriod="tomorrow">
      <formula>FLOOR(B69,1)=TODAY()+1</formula>
    </cfRule>
  </conditionalFormatting>
  <conditionalFormatting sqref="D69">
    <cfRule type="timePeriod" dxfId="1200" priority="1294" timePeriod="tomorrow">
      <formula>FLOOR(D69,1)=TODAY()+1</formula>
    </cfRule>
  </conditionalFormatting>
  <conditionalFormatting sqref="A68">
    <cfRule type="cellIs" dxfId="1199" priority="988" operator="equal">
      <formula>"Expirado"</formula>
    </cfRule>
  </conditionalFormatting>
  <conditionalFormatting sqref="A68">
    <cfRule type="cellIs" dxfId="1198" priority="984" operator="equal">
      <formula>"Quase expirando"</formula>
    </cfRule>
    <cfRule type="cellIs" dxfId="1197" priority="987" operator="equal">
      <formula>"Ativado"</formula>
    </cfRule>
  </conditionalFormatting>
  <conditionalFormatting sqref="A68">
    <cfRule type="cellIs" dxfId="1196" priority="986" operator="equal">
      <formula>"Programado"</formula>
    </cfRule>
  </conditionalFormatting>
  <conditionalFormatting sqref="A68">
    <cfRule type="cellIs" dxfId="1195" priority="985" operator="equal">
      <formula>"Expira amanhã"</formula>
    </cfRule>
  </conditionalFormatting>
  <conditionalFormatting sqref="A68">
    <cfRule type="cellIs" dxfId="1194" priority="983" operator="equal">
      <formula>"Expira hoje"</formula>
    </cfRule>
  </conditionalFormatting>
  <conditionalFormatting sqref="G68">
    <cfRule type="timePeriod" dxfId="1193" priority="982" timePeriod="tomorrow">
      <formula>FLOOR(G68,1)=TODAY()+1</formula>
    </cfRule>
  </conditionalFormatting>
  <conditionalFormatting sqref="A67">
    <cfRule type="cellIs" dxfId="1192" priority="948" operator="equal">
      <formula>"Expirado"</formula>
    </cfRule>
  </conditionalFormatting>
  <conditionalFormatting sqref="A67">
    <cfRule type="cellIs" dxfId="1191" priority="944" operator="equal">
      <formula>"Quase expirando"</formula>
    </cfRule>
    <cfRule type="cellIs" dxfId="1190" priority="947" operator="equal">
      <formula>"Ativado"</formula>
    </cfRule>
  </conditionalFormatting>
  <conditionalFormatting sqref="A67">
    <cfRule type="cellIs" dxfId="1189" priority="946" operator="equal">
      <formula>"Programado"</formula>
    </cfRule>
  </conditionalFormatting>
  <conditionalFormatting sqref="A67">
    <cfRule type="cellIs" dxfId="1188" priority="945" operator="equal">
      <formula>"Expira amanhã"</formula>
    </cfRule>
  </conditionalFormatting>
  <conditionalFormatting sqref="A67">
    <cfRule type="cellIs" dxfId="1187" priority="943" operator="equal">
      <formula>"Expira hoje"</formula>
    </cfRule>
  </conditionalFormatting>
  <conditionalFormatting sqref="G67">
    <cfRule type="timePeriod" dxfId="1186" priority="942" timePeriod="tomorrow">
      <formula>FLOOR(G67,1)=TODAY()+1</formula>
    </cfRule>
  </conditionalFormatting>
  <conditionalFormatting sqref="B67:B68">
    <cfRule type="timePeriod" dxfId="1185" priority="937" timePeriod="tomorrow">
      <formula>FLOOR(B67,1)=TODAY()+1</formula>
    </cfRule>
  </conditionalFormatting>
  <conditionalFormatting sqref="J67:J1048576 J11:J37">
    <cfRule type="containsText" dxfId="1184" priority="925" operator="containsText" text="FALSO">
      <formula>NOT(ISERROR(SEARCH("FALSO",J11)))</formula>
    </cfRule>
  </conditionalFormatting>
  <conditionalFormatting sqref="D180:D259 D69:D81 D114 D116:D147 D149:D151 D83:D111">
    <cfRule type="duplicateValues" dxfId="1183" priority="3722"/>
  </conditionalFormatting>
  <conditionalFormatting sqref="A66">
    <cfRule type="cellIs" dxfId="1182" priority="826" operator="equal">
      <formula>"Expirado"</formula>
    </cfRule>
  </conditionalFormatting>
  <conditionalFormatting sqref="A66">
    <cfRule type="cellIs" dxfId="1181" priority="822" operator="equal">
      <formula>"Quase expirando"</formula>
    </cfRule>
    <cfRule type="cellIs" dxfId="1180" priority="825" operator="equal">
      <formula>"Ativado"</formula>
    </cfRule>
  </conditionalFormatting>
  <conditionalFormatting sqref="A66">
    <cfRule type="cellIs" dxfId="1179" priority="824" operator="equal">
      <formula>"Programado"</formula>
    </cfRule>
  </conditionalFormatting>
  <conditionalFormatting sqref="A66">
    <cfRule type="cellIs" dxfId="1178" priority="823" operator="equal">
      <formula>"Expira amanhã"</formula>
    </cfRule>
  </conditionalFormatting>
  <conditionalFormatting sqref="A66">
    <cfRule type="cellIs" dxfId="1177" priority="821" operator="equal">
      <formula>"Expira hoje"</formula>
    </cfRule>
  </conditionalFormatting>
  <conditionalFormatting sqref="G66">
    <cfRule type="timePeriod" dxfId="1176" priority="820" timePeriod="tomorrow">
      <formula>FLOOR(G66,1)=TODAY()+1</formula>
    </cfRule>
  </conditionalFormatting>
  <conditionalFormatting sqref="H66:H179 H11:H37">
    <cfRule type="expression" dxfId="1175" priority="818">
      <formula>IF(H11&lt;TODAY(),"","")</formula>
    </cfRule>
  </conditionalFormatting>
  <conditionalFormatting sqref="J66">
    <cfRule type="containsText" dxfId="1174" priority="815" operator="containsText" text="FALSO">
      <formula>NOT(ISERROR(SEARCH("FALSO",J66)))</formula>
    </cfRule>
  </conditionalFormatting>
  <conditionalFormatting sqref="B66">
    <cfRule type="timePeriod" dxfId="1173" priority="814" timePeriod="tomorrow">
      <formula>FLOOR(B66,1)=TODAY()+1</formula>
    </cfRule>
  </conditionalFormatting>
  <conditionalFormatting sqref="D66">
    <cfRule type="timePeriod" dxfId="1172" priority="813" timePeriod="tomorrow">
      <formula>FLOOR(D66,1)=TODAY()+1</formula>
    </cfRule>
  </conditionalFormatting>
  <conditionalFormatting sqref="C68:D68">
    <cfRule type="timePeriod" dxfId="1171" priority="782" timePeriod="tomorrow">
      <formula>FLOOR(C68,1)=TODAY()+1</formula>
    </cfRule>
  </conditionalFormatting>
  <conditionalFormatting sqref="C112:D113">
    <cfRule type="timePeriod" dxfId="1170" priority="781" timePeriod="tomorrow">
      <formula>FLOOR(C112,1)=TODAY()+1</formula>
    </cfRule>
  </conditionalFormatting>
  <conditionalFormatting sqref="D115">
    <cfRule type="timePeriod" dxfId="1169" priority="780" timePeriod="tomorrow">
      <formula>FLOOR(D115,1)=TODAY()+1</formula>
    </cfRule>
  </conditionalFormatting>
  <conditionalFormatting sqref="C115">
    <cfRule type="timePeriod" dxfId="1168" priority="779" timePeriod="tomorrow">
      <formula>FLOOR(C115,1)=TODAY()+1</formula>
    </cfRule>
  </conditionalFormatting>
  <conditionalFormatting sqref="C148:D148">
    <cfRule type="timePeriod" dxfId="1167" priority="778" timePeriod="tomorrow">
      <formula>FLOOR(C148,1)=TODAY()+1</formula>
    </cfRule>
  </conditionalFormatting>
  <conditionalFormatting sqref="B68">
    <cfRule type="timePeriod" dxfId="1166" priority="776" timePeriod="tomorrow">
      <formula>FLOOR(B68,1)=TODAY()+1</formula>
    </cfRule>
  </conditionalFormatting>
  <conditionalFormatting sqref="A65">
    <cfRule type="cellIs" dxfId="1165" priority="775" operator="equal">
      <formula>"Expirado"</formula>
    </cfRule>
  </conditionalFormatting>
  <conditionalFormatting sqref="A65">
    <cfRule type="cellIs" dxfId="1164" priority="685" operator="equal">
      <formula>"Quase expirando"</formula>
    </cfRule>
    <cfRule type="cellIs" dxfId="1163" priority="688" operator="equal">
      <formula>"Ativado"</formula>
    </cfRule>
  </conditionalFormatting>
  <conditionalFormatting sqref="A65">
    <cfRule type="cellIs" dxfId="1162" priority="687" operator="equal">
      <formula>"Programado"</formula>
    </cfRule>
  </conditionalFormatting>
  <conditionalFormatting sqref="A65">
    <cfRule type="cellIs" dxfId="1161" priority="686" operator="equal">
      <formula>"Expira amanhã"</formula>
    </cfRule>
  </conditionalFormatting>
  <conditionalFormatting sqref="A65">
    <cfRule type="cellIs" dxfId="1160" priority="684" operator="equal">
      <formula>"Expira hoje"</formula>
    </cfRule>
  </conditionalFormatting>
  <conditionalFormatting sqref="G65">
    <cfRule type="timePeriod" dxfId="1159" priority="683" timePeriod="tomorrow">
      <formula>FLOOR(G65,1)=TODAY()+1</formula>
    </cfRule>
  </conditionalFormatting>
  <conditionalFormatting sqref="H65">
    <cfRule type="timePeriod" dxfId="1158" priority="682" timePeriod="tomorrow">
      <formula>FLOOR(H65,1)=TODAY()+1</formula>
    </cfRule>
  </conditionalFormatting>
  <conditionalFormatting sqref="H65">
    <cfRule type="expression" dxfId="1157" priority="681">
      <formula>IF(H65&lt;TODAY(),"","")</formula>
    </cfRule>
  </conditionalFormatting>
  <conditionalFormatting sqref="J65">
    <cfRule type="containsText" dxfId="1156" priority="679" operator="containsText" text="FALSO">
      <formula>NOT(ISERROR(SEARCH("FALSO",J65)))</formula>
    </cfRule>
  </conditionalFormatting>
  <conditionalFormatting sqref="B65">
    <cfRule type="timePeriod" dxfId="1155" priority="680" timePeriod="tomorrow">
      <formula>FLOOR(B65,1)=TODAY()+1</formula>
    </cfRule>
  </conditionalFormatting>
  <conditionalFormatting sqref="H11:H37 H65:H1048576">
    <cfRule type="expression" dxfId="1154" priority="673">
      <formula>AND(E11="",H11&gt;0)</formula>
    </cfRule>
  </conditionalFormatting>
  <conditionalFormatting sqref="H65:H1048576 H1:H3 H11:H37">
    <cfRule type="cellIs" dxfId="1153" priority="672" operator="equal">
      <formula>0</formula>
    </cfRule>
  </conditionalFormatting>
  <conditionalFormatting sqref="A64">
    <cfRule type="cellIs" dxfId="1152" priority="634" operator="equal">
      <formula>"Expirado"</formula>
    </cfRule>
  </conditionalFormatting>
  <conditionalFormatting sqref="A64">
    <cfRule type="cellIs" dxfId="1151" priority="630" operator="equal">
      <formula>"Quase expirando"</formula>
    </cfRule>
    <cfRule type="cellIs" dxfId="1150" priority="633" operator="equal">
      <formula>"Ativado"</formula>
    </cfRule>
  </conditionalFormatting>
  <conditionalFormatting sqref="A64">
    <cfRule type="cellIs" dxfId="1149" priority="632" operator="equal">
      <formula>"Programado"</formula>
    </cfRule>
  </conditionalFormatting>
  <conditionalFormatting sqref="A64">
    <cfRule type="cellIs" dxfId="1148" priority="631" operator="equal">
      <formula>"Expira amanhã"</formula>
    </cfRule>
  </conditionalFormatting>
  <conditionalFormatting sqref="A64">
    <cfRule type="cellIs" dxfId="1147" priority="629" operator="equal">
      <formula>"Expira hoje"</formula>
    </cfRule>
  </conditionalFormatting>
  <conditionalFormatting sqref="G64">
    <cfRule type="timePeriod" dxfId="1146" priority="628" timePeriod="tomorrow">
      <formula>FLOOR(G64,1)=TODAY()+1</formula>
    </cfRule>
  </conditionalFormatting>
  <conditionalFormatting sqref="H64">
    <cfRule type="timePeriod" dxfId="1145" priority="627" timePeriod="tomorrow">
      <formula>FLOOR(H64,1)=TODAY()+1</formula>
    </cfRule>
  </conditionalFormatting>
  <conditionalFormatting sqref="H64">
    <cfRule type="expression" dxfId="1144" priority="626">
      <formula>IF(H64&lt;TODAY(),"","")</formula>
    </cfRule>
  </conditionalFormatting>
  <conditionalFormatting sqref="J64">
    <cfRule type="containsText" dxfId="1143" priority="624" operator="containsText" text="FALSO">
      <formula>NOT(ISERROR(SEARCH("FALSO",J64)))</formula>
    </cfRule>
  </conditionalFormatting>
  <conditionalFormatting sqref="H64">
    <cfRule type="expression" dxfId="1142" priority="621">
      <formula>AND(E64="",H64&gt;0)</formula>
    </cfRule>
  </conditionalFormatting>
  <conditionalFormatting sqref="H64">
    <cfRule type="cellIs" dxfId="1141" priority="620" operator="equal">
      <formula>0</formula>
    </cfRule>
  </conditionalFormatting>
  <conditionalFormatting sqref="B64">
    <cfRule type="timePeriod" dxfId="1140" priority="619" timePeriod="tomorrow">
      <formula>FLOOR(B64,1)=TODAY()+1</formula>
    </cfRule>
  </conditionalFormatting>
  <conditionalFormatting sqref="D64">
    <cfRule type="expression" dxfId="1139" priority="617">
      <formula>$B64="Pausado"</formula>
    </cfRule>
  </conditionalFormatting>
  <conditionalFormatting sqref="A63">
    <cfRule type="cellIs" dxfId="1138" priority="616" operator="equal">
      <formula>"Expirado"</formula>
    </cfRule>
  </conditionalFormatting>
  <conditionalFormatting sqref="A63">
    <cfRule type="cellIs" dxfId="1137" priority="612" operator="equal">
      <formula>"Quase expirando"</formula>
    </cfRule>
    <cfRule type="cellIs" dxfId="1136" priority="615" operator="equal">
      <formula>"Ativado"</formula>
    </cfRule>
  </conditionalFormatting>
  <conditionalFormatting sqref="A63">
    <cfRule type="cellIs" dxfId="1135" priority="614" operator="equal">
      <formula>"Programado"</formula>
    </cfRule>
  </conditionalFormatting>
  <conditionalFormatting sqref="A63">
    <cfRule type="cellIs" dxfId="1134" priority="613" operator="equal">
      <formula>"Expira amanhã"</formula>
    </cfRule>
  </conditionalFormatting>
  <conditionalFormatting sqref="A63">
    <cfRule type="cellIs" dxfId="1133" priority="611" operator="equal">
      <formula>"Expira hoje"</formula>
    </cfRule>
  </conditionalFormatting>
  <conditionalFormatting sqref="G63">
    <cfRule type="timePeriod" dxfId="1132" priority="610" timePeriod="tomorrow">
      <formula>FLOOR(G63,1)=TODAY()+1</formula>
    </cfRule>
  </conditionalFormatting>
  <conditionalFormatting sqref="H63">
    <cfRule type="timePeriod" dxfId="1131" priority="609" timePeriod="tomorrow">
      <formula>FLOOR(H63,1)=TODAY()+1</formula>
    </cfRule>
  </conditionalFormatting>
  <conditionalFormatting sqref="H63">
    <cfRule type="expression" dxfId="1130" priority="608">
      <formula>IF(H63&lt;TODAY(),"","")</formula>
    </cfRule>
  </conditionalFormatting>
  <conditionalFormatting sqref="J63">
    <cfRule type="containsText" dxfId="1129" priority="607" operator="containsText" text="FALSO">
      <formula>NOT(ISERROR(SEARCH("FALSO",J63)))</formula>
    </cfRule>
  </conditionalFormatting>
  <conditionalFormatting sqref="H63">
    <cfRule type="expression" dxfId="1128" priority="606">
      <formula>AND(E63="",H63&gt;0)</formula>
    </cfRule>
  </conditionalFormatting>
  <conditionalFormatting sqref="H63">
    <cfRule type="cellIs" dxfId="1127" priority="605" operator="equal">
      <formula>0</formula>
    </cfRule>
  </conditionalFormatting>
  <conditionalFormatting sqref="B63">
    <cfRule type="timePeriod" dxfId="1126" priority="601" timePeriod="tomorrow">
      <formula>FLOOR(B63,1)=TODAY()+1</formula>
    </cfRule>
  </conditionalFormatting>
  <conditionalFormatting sqref="D63">
    <cfRule type="expression" dxfId="1125" priority="599">
      <formula>$B63="Pausado"</formula>
    </cfRule>
  </conditionalFormatting>
  <conditionalFormatting sqref="A62">
    <cfRule type="cellIs" dxfId="1124" priority="598" operator="equal">
      <formula>"Expirado"</formula>
    </cfRule>
  </conditionalFormatting>
  <conditionalFormatting sqref="A62">
    <cfRule type="cellIs" dxfId="1123" priority="594" operator="equal">
      <formula>"Quase expirando"</formula>
    </cfRule>
    <cfRule type="cellIs" dxfId="1122" priority="597" operator="equal">
      <formula>"Ativado"</formula>
    </cfRule>
  </conditionalFormatting>
  <conditionalFormatting sqref="A62">
    <cfRule type="cellIs" dxfId="1121" priority="596" operator="equal">
      <formula>"Programado"</formula>
    </cfRule>
  </conditionalFormatting>
  <conditionalFormatting sqref="A62">
    <cfRule type="cellIs" dxfId="1120" priority="595" operator="equal">
      <formula>"Expira amanhã"</formula>
    </cfRule>
  </conditionalFormatting>
  <conditionalFormatting sqref="A62">
    <cfRule type="cellIs" dxfId="1119" priority="593" operator="equal">
      <formula>"Expira hoje"</formula>
    </cfRule>
  </conditionalFormatting>
  <conditionalFormatting sqref="G62">
    <cfRule type="timePeriod" dxfId="1118" priority="592" timePeriod="tomorrow">
      <formula>FLOOR(G62,1)=TODAY()+1</formula>
    </cfRule>
  </conditionalFormatting>
  <conditionalFormatting sqref="H62">
    <cfRule type="timePeriod" dxfId="1117" priority="591" timePeriod="tomorrow">
      <formula>FLOOR(H62,1)=TODAY()+1</formula>
    </cfRule>
  </conditionalFormatting>
  <conditionalFormatting sqref="H62">
    <cfRule type="expression" dxfId="1116" priority="590">
      <formula>IF(H62&lt;TODAY(),"","")</formula>
    </cfRule>
  </conditionalFormatting>
  <conditionalFormatting sqref="J62">
    <cfRule type="containsText" dxfId="1115" priority="589" operator="containsText" text="FALSO">
      <formula>NOT(ISERROR(SEARCH("FALSO",J62)))</formula>
    </cfRule>
  </conditionalFormatting>
  <conditionalFormatting sqref="H62">
    <cfRule type="expression" dxfId="1114" priority="588">
      <formula>AND(E62="",H62&gt;0)</formula>
    </cfRule>
  </conditionalFormatting>
  <conditionalFormatting sqref="H62">
    <cfRule type="cellIs" dxfId="1113" priority="587" operator="equal">
      <formula>0</formula>
    </cfRule>
  </conditionalFormatting>
  <conditionalFormatting sqref="B62">
    <cfRule type="timePeriod" dxfId="1112" priority="583" timePeriod="tomorrow">
      <formula>FLOOR(B62,1)=TODAY()+1</formula>
    </cfRule>
  </conditionalFormatting>
  <conditionalFormatting sqref="D62">
    <cfRule type="expression" dxfId="1111" priority="581">
      <formula>$B62="Pausado"</formula>
    </cfRule>
  </conditionalFormatting>
  <conditionalFormatting sqref="A61">
    <cfRule type="cellIs" dxfId="1110" priority="535" operator="equal">
      <formula>"Expirado"</formula>
    </cfRule>
  </conditionalFormatting>
  <conditionalFormatting sqref="A61">
    <cfRule type="cellIs" dxfId="1109" priority="531" operator="equal">
      <formula>"Quase expirando"</formula>
    </cfRule>
    <cfRule type="cellIs" dxfId="1108" priority="534" operator="equal">
      <formula>"Ativado"</formula>
    </cfRule>
  </conditionalFormatting>
  <conditionalFormatting sqref="A61">
    <cfRule type="cellIs" dxfId="1107" priority="533" operator="equal">
      <formula>"Programado"</formula>
    </cfRule>
  </conditionalFormatting>
  <conditionalFormatting sqref="A61">
    <cfRule type="cellIs" dxfId="1106" priority="532" operator="equal">
      <formula>"Expira amanhã"</formula>
    </cfRule>
  </conditionalFormatting>
  <conditionalFormatting sqref="A61">
    <cfRule type="cellIs" dxfId="1105" priority="530" operator="equal">
      <formula>"Expira hoje"</formula>
    </cfRule>
  </conditionalFormatting>
  <conditionalFormatting sqref="G61">
    <cfRule type="timePeriod" dxfId="1104" priority="529" timePeriod="tomorrow">
      <formula>FLOOR(G61,1)=TODAY()+1</formula>
    </cfRule>
  </conditionalFormatting>
  <conditionalFormatting sqref="H61">
    <cfRule type="timePeriod" dxfId="1103" priority="528" timePeriod="tomorrow">
      <formula>FLOOR(H61,1)=TODAY()+1</formula>
    </cfRule>
  </conditionalFormatting>
  <conditionalFormatting sqref="H61">
    <cfRule type="expression" dxfId="1102" priority="527">
      <formula>IF(H61&lt;TODAY(),"","")</formula>
    </cfRule>
  </conditionalFormatting>
  <conditionalFormatting sqref="J61">
    <cfRule type="containsText" dxfId="1101" priority="526" operator="containsText" text="FALSO">
      <formula>NOT(ISERROR(SEARCH("FALSO",J61)))</formula>
    </cfRule>
  </conditionalFormatting>
  <conditionalFormatting sqref="H61">
    <cfRule type="expression" dxfId="1100" priority="525">
      <formula>AND(E61="",H61&gt;0)</formula>
    </cfRule>
  </conditionalFormatting>
  <conditionalFormatting sqref="H61">
    <cfRule type="cellIs" dxfId="1099" priority="524" operator="equal">
      <formula>0</formula>
    </cfRule>
  </conditionalFormatting>
  <conditionalFormatting sqref="B61">
    <cfRule type="timePeriod" dxfId="1098" priority="523" timePeriod="tomorrow">
      <formula>FLOOR(B61,1)=TODAY()+1</formula>
    </cfRule>
  </conditionalFormatting>
  <conditionalFormatting sqref="A60">
    <cfRule type="cellIs" dxfId="1097" priority="520" operator="equal">
      <formula>"Expirado"</formula>
    </cfRule>
  </conditionalFormatting>
  <conditionalFormatting sqref="A60">
    <cfRule type="cellIs" dxfId="1096" priority="516" operator="equal">
      <formula>"Quase expirando"</formula>
    </cfRule>
    <cfRule type="cellIs" dxfId="1095" priority="519" operator="equal">
      <formula>"Ativado"</formula>
    </cfRule>
  </conditionalFormatting>
  <conditionalFormatting sqref="A60">
    <cfRule type="cellIs" dxfId="1094" priority="518" operator="equal">
      <formula>"Programado"</formula>
    </cfRule>
  </conditionalFormatting>
  <conditionalFormatting sqref="A60">
    <cfRule type="cellIs" dxfId="1093" priority="517" operator="equal">
      <formula>"Expira amanhã"</formula>
    </cfRule>
  </conditionalFormatting>
  <conditionalFormatting sqref="A60">
    <cfRule type="cellIs" dxfId="1092" priority="515" operator="equal">
      <formula>"Expira hoje"</formula>
    </cfRule>
  </conditionalFormatting>
  <conditionalFormatting sqref="G60">
    <cfRule type="timePeriod" dxfId="1091" priority="514" timePeriod="tomorrow">
      <formula>FLOOR(G60,1)=TODAY()+1</formula>
    </cfRule>
  </conditionalFormatting>
  <conditionalFormatting sqref="H60">
    <cfRule type="timePeriod" dxfId="1090" priority="513" timePeriod="tomorrow">
      <formula>FLOOR(H60,1)=TODAY()+1</formula>
    </cfRule>
  </conditionalFormatting>
  <conditionalFormatting sqref="H60">
    <cfRule type="expression" dxfId="1089" priority="512">
      <formula>IF(H60&lt;TODAY(),"","")</formula>
    </cfRule>
  </conditionalFormatting>
  <conditionalFormatting sqref="J60">
    <cfRule type="containsText" dxfId="1088" priority="511" operator="containsText" text="FALSO">
      <formula>NOT(ISERROR(SEARCH("FALSO",J60)))</formula>
    </cfRule>
  </conditionalFormatting>
  <conditionalFormatting sqref="H60">
    <cfRule type="expression" dxfId="1087" priority="510">
      <formula>AND(E60="",H60&gt;0)</formula>
    </cfRule>
  </conditionalFormatting>
  <conditionalFormatting sqref="H60">
    <cfRule type="cellIs" dxfId="1086" priority="509" operator="equal">
      <formula>0</formula>
    </cfRule>
  </conditionalFormatting>
  <conditionalFormatting sqref="B60">
    <cfRule type="timePeriod" dxfId="1085" priority="508" timePeriod="tomorrow">
      <formula>FLOOR(B60,1)=TODAY()+1</formula>
    </cfRule>
  </conditionalFormatting>
  <conditionalFormatting sqref="D60">
    <cfRule type="expression" dxfId="1084" priority="506">
      <formula>$B60="Pausado"</formula>
    </cfRule>
  </conditionalFormatting>
  <conditionalFormatting sqref="A59">
    <cfRule type="cellIs" dxfId="1083" priority="505" operator="equal">
      <formula>"Expirado"</formula>
    </cfRule>
  </conditionalFormatting>
  <conditionalFormatting sqref="A59">
    <cfRule type="cellIs" dxfId="1082" priority="501" operator="equal">
      <formula>"Quase expirando"</formula>
    </cfRule>
    <cfRule type="cellIs" dxfId="1081" priority="504" operator="equal">
      <formula>"Ativado"</formula>
    </cfRule>
  </conditionalFormatting>
  <conditionalFormatting sqref="A59">
    <cfRule type="cellIs" dxfId="1080" priority="503" operator="equal">
      <formula>"Programado"</formula>
    </cfRule>
  </conditionalFormatting>
  <conditionalFormatting sqref="A59">
    <cfRule type="cellIs" dxfId="1079" priority="502" operator="equal">
      <formula>"Expira amanhã"</formula>
    </cfRule>
  </conditionalFormatting>
  <conditionalFormatting sqref="A59">
    <cfRule type="cellIs" dxfId="1078" priority="500" operator="equal">
      <formula>"Expira hoje"</formula>
    </cfRule>
  </conditionalFormatting>
  <conditionalFormatting sqref="G59">
    <cfRule type="timePeriod" dxfId="1077" priority="499" timePeriod="tomorrow">
      <formula>FLOOR(G59,1)=TODAY()+1</formula>
    </cfRule>
  </conditionalFormatting>
  <conditionalFormatting sqref="H59">
    <cfRule type="timePeriod" dxfId="1076" priority="498" timePeriod="tomorrow">
      <formula>FLOOR(H59,1)=TODAY()+1</formula>
    </cfRule>
  </conditionalFormatting>
  <conditionalFormatting sqref="H59">
    <cfRule type="expression" dxfId="1075" priority="497">
      <formula>IF(H59&lt;TODAY(),"","")</formula>
    </cfRule>
  </conditionalFormatting>
  <conditionalFormatting sqref="J59">
    <cfRule type="containsText" dxfId="1074" priority="496" operator="containsText" text="FALSO">
      <formula>NOT(ISERROR(SEARCH("FALSO",J59)))</formula>
    </cfRule>
  </conditionalFormatting>
  <conditionalFormatting sqref="H59">
    <cfRule type="expression" dxfId="1073" priority="495">
      <formula>AND(E59="",H59&gt;0)</formula>
    </cfRule>
  </conditionalFormatting>
  <conditionalFormatting sqref="H59">
    <cfRule type="cellIs" dxfId="1072" priority="494" operator="equal">
      <formula>0</formula>
    </cfRule>
  </conditionalFormatting>
  <conditionalFormatting sqref="B59">
    <cfRule type="timePeriod" dxfId="1071" priority="493" timePeriod="tomorrow">
      <formula>FLOOR(B59,1)=TODAY()+1</formula>
    </cfRule>
  </conditionalFormatting>
  <conditionalFormatting sqref="D59">
    <cfRule type="expression" dxfId="1070" priority="491">
      <formula>$B59="Pausado"</formula>
    </cfRule>
  </conditionalFormatting>
  <conditionalFormatting sqref="A58">
    <cfRule type="cellIs" dxfId="1069" priority="475" operator="equal">
      <formula>"Expirado"</formula>
    </cfRule>
  </conditionalFormatting>
  <conditionalFormatting sqref="A58">
    <cfRule type="cellIs" dxfId="1068" priority="471" operator="equal">
      <formula>"Quase expirando"</formula>
    </cfRule>
    <cfRule type="cellIs" dxfId="1067" priority="474" operator="equal">
      <formula>"Ativado"</formula>
    </cfRule>
  </conditionalFormatting>
  <conditionalFormatting sqref="A58">
    <cfRule type="cellIs" dxfId="1066" priority="473" operator="equal">
      <formula>"Programado"</formula>
    </cfRule>
  </conditionalFormatting>
  <conditionalFormatting sqref="A58">
    <cfRule type="cellIs" dxfId="1065" priority="472" operator="equal">
      <formula>"Expira amanhã"</formula>
    </cfRule>
  </conditionalFormatting>
  <conditionalFormatting sqref="A58">
    <cfRule type="cellIs" dxfId="1064" priority="470" operator="equal">
      <formula>"Expira hoje"</formula>
    </cfRule>
  </conditionalFormatting>
  <conditionalFormatting sqref="G58">
    <cfRule type="timePeriod" dxfId="1063" priority="469" timePeriod="tomorrow">
      <formula>FLOOR(G58,1)=TODAY()+1</formula>
    </cfRule>
  </conditionalFormatting>
  <conditionalFormatting sqref="H58">
    <cfRule type="timePeriod" dxfId="1062" priority="468" timePeriod="tomorrow">
      <formula>FLOOR(H58,1)=TODAY()+1</formula>
    </cfRule>
  </conditionalFormatting>
  <conditionalFormatting sqref="H58">
    <cfRule type="expression" dxfId="1061" priority="467">
      <formula>IF(H58&lt;TODAY(),"","")</formula>
    </cfRule>
  </conditionalFormatting>
  <conditionalFormatting sqref="J58">
    <cfRule type="containsText" dxfId="1060" priority="466" operator="containsText" text="FALSO">
      <formula>NOT(ISERROR(SEARCH("FALSO",J58)))</formula>
    </cfRule>
  </conditionalFormatting>
  <conditionalFormatting sqref="H58">
    <cfRule type="expression" dxfId="1059" priority="465">
      <formula>AND(E58="",H58&gt;0)</formula>
    </cfRule>
  </conditionalFormatting>
  <conditionalFormatting sqref="H58">
    <cfRule type="cellIs" dxfId="1058" priority="464" operator="equal">
      <formula>0</formula>
    </cfRule>
  </conditionalFormatting>
  <conditionalFormatting sqref="B58">
    <cfRule type="timePeriod" dxfId="1057" priority="463" timePeriod="tomorrow">
      <formula>FLOOR(B58,1)=TODAY()+1</formula>
    </cfRule>
  </conditionalFormatting>
  <conditionalFormatting sqref="D58">
    <cfRule type="expression" dxfId="1056" priority="461">
      <formula>$B58="Pausado"</formula>
    </cfRule>
  </conditionalFormatting>
  <conditionalFormatting sqref="A57">
    <cfRule type="cellIs" dxfId="1055" priority="460" operator="equal">
      <formula>"Expirado"</formula>
    </cfRule>
  </conditionalFormatting>
  <conditionalFormatting sqref="A57">
    <cfRule type="cellIs" dxfId="1054" priority="456" operator="equal">
      <formula>"Quase expirando"</formula>
    </cfRule>
    <cfRule type="cellIs" dxfId="1053" priority="459" operator="equal">
      <formula>"Ativado"</formula>
    </cfRule>
  </conditionalFormatting>
  <conditionalFormatting sqref="A57">
    <cfRule type="cellIs" dxfId="1052" priority="458" operator="equal">
      <formula>"Programado"</formula>
    </cfRule>
  </conditionalFormatting>
  <conditionalFormatting sqref="A57">
    <cfRule type="cellIs" dxfId="1051" priority="457" operator="equal">
      <formula>"Expira amanhã"</formula>
    </cfRule>
  </conditionalFormatting>
  <conditionalFormatting sqref="A57">
    <cfRule type="cellIs" dxfId="1050" priority="455" operator="equal">
      <formula>"Expira hoje"</formula>
    </cfRule>
  </conditionalFormatting>
  <conditionalFormatting sqref="G57">
    <cfRule type="timePeriod" dxfId="1049" priority="454" timePeriod="tomorrow">
      <formula>FLOOR(G57,1)=TODAY()+1</formula>
    </cfRule>
  </conditionalFormatting>
  <conditionalFormatting sqref="H57">
    <cfRule type="timePeriod" dxfId="1048" priority="453" timePeriod="tomorrow">
      <formula>FLOOR(H57,1)=TODAY()+1</formula>
    </cfRule>
  </conditionalFormatting>
  <conditionalFormatting sqref="H57">
    <cfRule type="expression" dxfId="1047" priority="452">
      <formula>IF(H57&lt;TODAY(),"","")</formula>
    </cfRule>
  </conditionalFormatting>
  <conditionalFormatting sqref="J57">
    <cfRule type="containsText" dxfId="1046" priority="451" operator="containsText" text="FALSO">
      <formula>NOT(ISERROR(SEARCH("FALSO",J57)))</formula>
    </cfRule>
  </conditionalFormatting>
  <conditionalFormatting sqref="H57">
    <cfRule type="expression" dxfId="1045" priority="450">
      <formula>AND(E57="",H57&gt;0)</formula>
    </cfRule>
  </conditionalFormatting>
  <conditionalFormatting sqref="H57">
    <cfRule type="cellIs" dxfId="1044" priority="449" operator="equal">
      <formula>0</formula>
    </cfRule>
  </conditionalFormatting>
  <conditionalFormatting sqref="B57">
    <cfRule type="timePeriod" dxfId="1043" priority="448" timePeriod="tomorrow">
      <formula>FLOOR(B57,1)=TODAY()+1</formula>
    </cfRule>
  </conditionalFormatting>
  <conditionalFormatting sqref="D57">
    <cfRule type="expression" dxfId="1042" priority="446">
      <formula>$B57="Pausado"</formula>
    </cfRule>
  </conditionalFormatting>
  <conditionalFormatting sqref="A56">
    <cfRule type="cellIs" dxfId="1041" priority="427" operator="equal">
      <formula>"Expirado"</formula>
    </cfRule>
  </conditionalFormatting>
  <conditionalFormatting sqref="A56">
    <cfRule type="cellIs" dxfId="1040" priority="423" operator="equal">
      <formula>"Quase expirando"</formula>
    </cfRule>
    <cfRule type="cellIs" dxfId="1039" priority="426" operator="equal">
      <formula>"Ativado"</formula>
    </cfRule>
  </conditionalFormatting>
  <conditionalFormatting sqref="A56">
    <cfRule type="cellIs" dxfId="1038" priority="425" operator="equal">
      <formula>"Programado"</formula>
    </cfRule>
  </conditionalFormatting>
  <conditionalFormatting sqref="A56">
    <cfRule type="cellIs" dxfId="1037" priority="424" operator="equal">
      <formula>"Expira amanhã"</formula>
    </cfRule>
  </conditionalFormatting>
  <conditionalFormatting sqref="A56">
    <cfRule type="cellIs" dxfId="1036" priority="422" operator="equal">
      <formula>"Expira hoje"</formula>
    </cfRule>
  </conditionalFormatting>
  <conditionalFormatting sqref="G56">
    <cfRule type="timePeriod" dxfId="1035" priority="421" timePeriod="tomorrow">
      <formula>FLOOR(G56,1)=TODAY()+1</formula>
    </cfRule>
  </conditionalFormatting>
  <conditionalFormatting sqref="H56">
    <cfRule type="timePeriod" dxfId="1034" priority="420" timePeriod="tomorrow">
      <formula>FLOOR(H56,1)=TODAY()+1</formula>
    </cfRule>
  </conditionalFormatting>
  <conditionalFormatting sqref="H56">
    <cfRule type="expression" dxfId="1033" priority="419">
      <formula>IF(H56&lt;TODAY(),"","")</formula>
    </cfRule>
  </conditionalFormatting>
  <conditionalFormatting sqref="J56">
    <cfRule type="containsText" dxfId="1032" priority="418" operator="containsText" text="FALSO">
      <formula>NOT(ISERROR(SEARCH("FALSO",J56)))</formula>
    </cfRule>
  </conditionalFormatting>
  <conditionalFormatting sqref="H56">
    <cfRule type="expression" dxfId="1031" priority="417">
      <formula>AND(E56="",H56&gt;0)</formula>
    </cfRule>
  </conditionalFormatting>
  <conditionalFormatting sqref="H56">
    <cfRule type="cellIs" dxfId="1030" priority="416" operator="equal">
      <formula>0</formula>
    </cfRule>
  </conditionalFormatting>
  <conditionalFormatting sqref="B56">
    <cfRule type="timePeriod" dxfId="1029" priority="415" timePeriod="tomorrow">
      <formula>FLOOR(B56,1)=TODAY()+1</formula>
    </cfRule>
  </conditionalFormatting>
  <conditionalFormatting sqref="D56">
    <cfRule type="expression" dxfId="1028" priority="413">
      <formula>$B56="Pausado"</formula>
    </cfRule>
  </conditionalFormatting>
  <conditionalFormatting sqref="A55">
    <cfRule type="cellIs" dxfId="1027" priority="411" operator="equal">
      <formula>"Expirado"</formula>
    </cfRule>
  </conditionalFormatting>
  <conditionalFormatting sqref="A55">
    <cfRule type="cellIs" dxfId="1026" priority="407" operator="equal">
      <formula>"Quase expirando"</formula>
    </cfRule>
    <cfRule type="cellIs" dxfId="1025" priority="410" operator="equal">
      <formula>"Ativado"</formula>
    </cfRule>
  </conditionalFormatting>
  <conditionalFormatting sqref="A55">
    <cfRule type="cellIs" dxfId="1024" priority="409" operator="equal">
      <formula>"Programado"</formula>
    </cfRule>
  </conditionalFormatting>
  <conditionalFormatting sqref="A55">
    <cfRule type="cellIs" dxfId="1023" priority="408" operator="equal">
      <formula>"Expira amanhã"</formula>
    </cfRule>
  </conditionalFormatting>
  <conditionalFormatting sqref="A55">
    <cfRule type="cellIs" dxfId="1022" priority="406" operator="equal">
      <formula>"Expira hoje"</formula>
    </cfRule>
  </conditionalFormatting>
  <conditionalFormatting sqref="G55">
    <cfRule type="timePeriod" dxfId="1021" priority="405" timePeriod="tomorrow">
      <formula>FLOOR(G55,1)=TODAY()+1</formula>
    </cfRule>
  </conditionalFormatting>
  <conditionalFormatting sqref="H55">
    <cfRule type="timePeriod" dxfId="1020" priority="404" timePeriod="tomorrow">
      <formula>FLOOR(H55,1)=TODAY()+1</formula>
    </cfRule>
  </conditionalFormatting>
  <conditionalFormatting sqref="H55">
    <cfRule type="expression" dxfId="1019" priority="403">
      <formula>IF(H55&lt;TODAY(),"","")</formula>
    </cfRule>
  </conditionalFormatting>
  <conditionalFormatting sqref="J55">
    <cfRule type="containsText" dxfId="1018" priority="402" operator="containsText" text="FALSO">
      <formula>NOT(ISERROR(SEARCH("FALSO",J55)))</formula>
    </cfRule>
  </conditionalFormatting>
  <conditionalFormatting sqref="H55">
    <cfRule type="expression" dxfId="1017" priority="401">
      <formula>AND(E55="",H55&gt;0)</formula>
    </cfRule>
  </conditionalFormatting>
  <conditionalFormatting sqref="H55">
    <cfRule type="cellIs" dxfId="1016" priority="400" operator="equal">
      <formula>0</formula>
    </cfRule>
  </conditionalFormatting>
  <conditionalFormatting sqref="B55">
    <cfRule type="timePeriod" dxfId="1015" priority="399" timePeriod="tomorrow">
      <formula>FLOOR(B55,1)=TODAY()+1</formula>
    </cfRule>
  </conditionalFormatting>
  <conditionalFormatting sqref="D55">
    <cfRule type="expression" dxfId="1014" priority="397">
      <formula>$B55="Pausado"</formula>
    </cfRule>
  </conditionalFormatting>
  <conditionalFormatting sqref="A54">
    <cfRule type="cellIs" dxfId="1013" priority="395" operator="equal">
      <formula>"Expirado"</formula>
    </cfRule>
  </conditionalFormatting>
  <conditionalFormatting sqref="A54">
    <cfRule type="cellIs" dxfId="1012" priority="391" operator="equal">
      <formula>"Quase expirando"</formula>
    </cfRule>
    <cfRule type="cellIs" dxfId="1011" priority="394" operator="equal">
      <formula>"Ativado"</formula>
    </cfRule>
  </conditionalFormatting>
  <conditionalFormatting sqref="A54">
    <cfRule type="cellIs" dxfId="1010" priority="393" operator="equal">
      <formula>"Programado"</formula>
    </cfRule>
  </conditionalFormatting>
  <conditionalFormatting sqref="A54">
    <cfRule type="cellIs" dxfId="1009" priority="392" operator="equal">
      <formula>"Expira amanhã"</formula>
    </cfRule>
  </conditionalFormatting>
  <conditionalFormatting sqref="A54">
    <cfRule type="cellIs" dxfId="1008" priority="390" operator="equal">
      <formula>"Expira hoje"</formula>
    </cfRule>
  </conditionalFormatting>
  <conditionalFormatting sqref="G54">
    <cfRule type="timePeriod" dxfId="1007" priority="389" timePeriod="tomorrow">
      <formula>FLOOR(G54,1)=TODAY()+1</formula>
    </cfRule>
  </conditionalFormatting>
  <conditionalFormatting sqref="H54">
    <cfRule type="timePeriod" dxfId="1006" priority="388" timePeriod="tomorrow">
      <formula>FLOOR(H54,1)=TODAY()+1</formula>
    </cfRule>
  </conditionalFormatting>
  <conditionalFormatting sqref="H54">
    <cfRule type="expression" dxfId="1005" priority="387">
      <formula>IF(H54&lt;TODAY(),"","")</formula>
    </cfRule>
  </conditionalFormatting>
  <conditionalFormatting sqref="J54">
    <cfRule type="containsText" dxfId="1004" priority="386" operator="containsText" text="FALSO">
      <formula>NOT(ISERROR(SEARCH("FALSO",J54)))</formula>
    </cfRule>
  </conditionalFormatting>
  <conditionalFormatting sqref="H54">
    <cfRule type="expression" dxfId="1003" priority="385">
      <formula>AND(E54="",H54&gt;0)</formula>
    </cfRule>
  </conditionalFormatting>
  <conditionalFormatting sqref="H54">
    <cfRule type="cellIs" dxfId="1002" priority="384" operator="equal">
      <formula>0</formula>
    </cfRule>
  </conditionalFormatting>
  <conditionalFormatting sqref="B54">
    <cfRule type="timePeriod" dxfId="1001" priority="383" timePeriod="tomorrow">
      <formula>FLOOR(B54,1)=TODAY()+1</formula>
    </cfRule>
  </conditionalFormatting>
  <conditionalFormatting sqref="D54">
    <cfRule type="expression" dxfId="1000" priority="381">
      <formula>$B54="Pausado"</formula>
    </cfRule>
  </conditionalFormatting>
  <conditionalFormatting sqref="A53">
    <cfRule type="cellIs" dxfId="999" priority="378" operator="equal">
      <formula>"Expirado"</formula>
    </cfRule>
  </conditionalFormatting>
  <conditionalFormatting sqref="A53">
    <cfRule type="cellIs" dxfId="998" priority="374" operator="equal">
      <formula>"Quase expirando"</formula>
    </cfRule>
    <cfRule type="cellIs" dxfId="997" priority="377" operator="equal">
      <formula>"Ativado"</formula>
    </cfRule>
  </conditionalFormatting>
  <conditionalFormatting sqref="A53">
    <cfRule type="cellIs" dxfId="996" priority="376" operator="equal">
      <formula>"Programado"</formula>
    </cfRule>
  </conditionalFormatting>
  <conditionalFormatting sqref="A53">
    <cfRule type="cellIs" dxfId="995" priority="375" operator="equal">
      <formula>"Expira amanhã"</formula>
    </cfRule>
  </conditionalFormatting>
  <conditionalFormatting sqref="A53">
    <cfRule type="cellIs" dxfId="994" priority="373" operator="equal">
      <formula>"Expira hoje"</formula>
    </cfRule>
  </conditionalFormatting>
  <conditionalFormatting sqref="G53">
    <cfRule type="timePeriod" dxfId="993" priority="372" timePeriod="tomorrow">
      <formula>FLOOR(G53,1)=TODAY()+1</formula>
    </cfRule>
  </conditionalFormatting>
  <conditionalFormatting sqref="H53">
    <cfRule type="timePeriod" dxfId="992" priority="371" timePeriod="tomorrow">
      <formula>FLOOR(H53,1)=TODAY()+1</formula>
    </cfRule>
  </conditionalFormatting>
  <conditionalFormatting sqref="H53">
    <cfRule type="expression" dxfId="991" priority="370">
      <formula>IF(H53&lt;TODAY(),"","")</formula>
    </cfRule>
  </conditionalFormatting>
  <conditionalFormatting sqref="J53">
    <cfRule type="containsText" dxfId="990" priority="369" operator="containsText" text="FALSO">
      <formula>NOT(ISERROR(SEARCH("FALSO",J53)))</formula>
    </cfRule>
  </conditionalFormatting>
  <conditionalFormatting sqref="H53">
    <cfRule type="expression" dxfId="989" priority="368">
      <formula>AND(E53="",H53&gt;0)</formula>
    </cfRule>
  </conditionalFormatting>
  <conditionalFormatting sqref="H53">
    <cfRule type="cellIs" dxfId="988" priority="367" operator="equal">
      <formula>0</formula>
    </cfRule>
  </conditionalFormatting>
  <conditionalFormatting sqref="B53">
    <cfRule type="timePeriod" dxfId="987" priority="366" timePeriod="tomorrow">
      <formula>FLOOR(B53,1)=TODAY()+1</formula>
    </cfRule>
  </conditionalFormatting>
  <conditionalFormatting sqref="D53">
    <cfRule type="expression" dxfId="986" priority="364">
      <formula>$B53="Pausado"</formula>
    </cfRule>
  </conditionalFormatting>
  <conditionalFormatting sqref="A52">
    <cfRule type="cellIs" dxfId="985" priority="362" operator="equal">
      <formula>"Expirado"</formula>
    </cfRule>
  </conditionalFormatting>
  <conditionalFormatting sqref="A52">
    <cfRule type="cellIs" dxfId="984" priority="358" operator="equal">
      <formula>"Quase expirando"</formula>
    </cfRule>
    <cfRule type="cellIs" dxfId="983" priority="361" operator="equal">
      <formula>"Ativado"</formula>
    </cfRule>
  </conditionalFormatting>
  <conditionalFormatting sqref="A52">
    <cfRule type="cellIs" dxfId="982" priority="360" operator="equal">
      <formula>"Programado"</formula>
    </cfRule>
  </conditionalFormatting>
  <conditionalFormatting sqref="A52">
    <cfRule type="cellIs" dxfId="981" priority="359" operator="equal">
      <formula>"Expira amanhã"</formula>
    </cfRule>
  </conditionalFormatting>
  <conditionalFormatting sqref="A52">
    <cfRule type="cellIs" dxfId="980" priority="357" operator="equal">
      <formula>"Expira hoje"</formula>
    </cfRule>
  </conditionalFormatting>
  <conditionalFormatting sqref="G52">
    <cfRule type="timePeriod" dxfId="979" priority="356" timePeriod="tomorrow">
      <formula>FLOOR(G52,1)=TODAY()+1</formula>
    </cfRule>
  </conditionalFormatting>
  <conditionalFormatting sqref="H52">
    <cfRule type="timePeriod" dxfId="978" priority="355" timePeriod="tomorrow">
      <formula>FLOOR(H52,1)=TODAY()+1</formula>
    </cfRule>
  </conditionalFormatting>
  <conditionalFormatting sqref="H52">
    <cfRule type="expression" dxfId="977" priority="354">
      <formula>IF(H52&lt;TODAY(),"","")</formula>
    </cfRule>
  </conditionalFormatting>
  <conditionalFormatting sqref="J52">
    <cfRule type="containsText" dxfId="976" priority="353" operator="containsText" text="FALSO">
      <formula>NOT(ISERROR(SEARCH("FALSO",J52)))</formula>
    </cfRule>
  </conditionalFormatting>
  <conditionalFormatting sqref="H52">
    <cfRule type="expression" dxfId="975" priority="352">
      <formula>AND(E52="",H52&gt;0)</formula>
    </cfRule>
  </conditionalFormatting>
  <conditionalFormatting sqref="H52">
    <cfRule type="cellIs" dxfId="974" priority="351" operator="equal">
      <formula>0</formula>
    </cfRule>
  </conditionalFormatting>
  <conditionalFormatting sqref="B52">
    <cfRule type="timePeriod" dxfId="973" priority="350" timePeriod="tomorrow">
      <formula>FLOOR(B52,1)=TODAY()+1</formula>
    </cfRule>
  </conditionalFormatting>
  <conditionalFormatting sqref="D52">
    <cfRule type="expression" dxfId="972" priority="348">
      <formula>$B52="Pausado"</formula>
    </cfRule>
  </conditionalFormatting>
  <conditionalFormatting sqref="A51">
    <cfRule type="cellIs" dxfId="971" priority="346" operator="equal">
      <formula>"Expirado"</formula>
    </cfRule>
  </conditionalFormatting>
  <conditionalFormatting sqref="A51">
    <cfRule type="cellIs" dxfId="970" priority="342" operator="equal">
      <formula>"Quase expirando"</formula>
    </cfRule>
    <cfRule type="cellIs" dxfId="969" priority="345" operator="equal">
      <formula>"Ativado"</formula>
    </cfRule>
  </conditionalFormatting>
  <conditionalFormatting sqref="A51">
    <cfRule type="cellIs" dxfId="968" priority="344" operator="equal">
      <formula>"Programado"</formula>
    </cfRule>
  </conditionalFormatting>
  <conditionalFormatting sqref="A51">
    <cfRule type="cellIs" dxfId="967" priority="343" operator="equal">
      <formula>"Expira amanhã"</formula>
    </cfRule>
  </conditionalFormatting>
  <conditionalFormatting sqref="A51">
    <cfRule type="cellIs" dxfId="966" priority="341" operator="equal">
      <formula>"Expira hoje"</formula>
    </cfRule>
  </conditionalFormatting>
  <conditionalFormatting sqref="G51">
    <cfRule type="timePeriod" dxfId="965" priority="340" timePeriod="tomorrow">
      <formula>FLOOR(G51,1)=TODAY()+1</formula>
    </cfRule>
  </conditionalFormatting>
  <conditionalFormatting sqref="H51">
    <cfRule type="timePeriod" dxfId="964" priority="339" timePeriod="tomorrow">
      <formula>FLOOR(H51,1)=TODAY()+1</formula>
    </cfRule>
  </conditionalFormatting>
  <conditionalFormatting sqref="H51">
    <cfRule type="expression" dxfId="963" priority="338">
      <formula>IF(H51&lt;TODAY(),"","")</formula>
    </cfRule>
  </conditionalFormatting>
  <conditionalFormatting sqref="J51">
    <cfRule type="containsText" dxfId="962" priority="337" operator="containsText" text="FALSO">
      <formula>NOT(ISERROR(SEARCH("FALSO",J51)))</formula>
    </cfRule>
  </conditionalFormatting>
  <conditionalFormatting sqref="H51">
    <cfRule type="expression" dxfId="961" priority="336">
      <formula>AND(E51="",H51&gt;0)</formula>
    </cfRule>
  </conditionalFormatting>
  <conditionalFormatting sqref="H51">
    <cfRule type="cellIs" dxfId="960" priority="335" operator="equal">
      <formula>0</formula>
    </cfRule>
  </conditionalFormatting>
  <conditionalFormatting sqref="B51">
    <cfRule type="timePeriod" dxfId="959" priority="334" timePeriod="tomorrow">
      <formula>FLOOR(B51,1)=TODAY()+1</formula>
    </cfRule>
  </conditionalFormatting>
  <conditionalFormatting sqref="D51">
    <cfRule type="expression" dxfId="958" priority="332">
      <formula>$B51="Pausado"</formula>
    </cfRule>
  </conditionalFormatting>
  <conditionalFormatting sqref="A50">
    <cfRule type="cellIs" dxfId="957" priority="330" operator="equal">
      <formula>"Expirado"</formula>
    </cfRule>
  </conditionalFormatting>
  <conditionalFormatting sqref="A50">
    <cfRule type="cellIs" dxfId="956" priority="326" operator="equal">
      <formula>"Quase expirando"</formula>
    </cfRule>
    <cfRule type="cellIs" dxfId="955" priority="329" operator="equal">
      <formula>"Ativado"</formula>
    </cfRule>
  </conditionalFormatting>
  <conditionalFormatting sqref="A50">
    <cfRule type="cellIs" dxfId="954" priority="328" operator="equal">
      <formula>"Programado"</formula>
    </cfRule>
  </conditionalFormatting>
  <conditionalFormatting sqref="A50">
    <cfRule type="cellIs" dxfId="953" priority="327" operator="equal">
      <formula>"Expira amanhã"</formula>
    </cfRule>
  </conditionalFormatting>
  <conditionalFormatting sqref="A50">
    <cfRule type="cellIs" dxfId="952" priority="325" operator="equal">
      <formula>"Expira hoje"</formula>
    </cfRule>
  </conditionalFormatting>
  <conditionalFormatting sqref="G50">
    <cfRule type="timePeriod" dxfId="951" priority="324" timePeriod="tomorrow">
      <formula>FLOOR(G50,1)=TODAY()+1</formula>
    </cfRule>
  </conditionalFormatting>
  <conditionalFormatting sqref="H50">
    <cfRule type="timePeriod" dxfId="950" priority="323" timePeriod="tomorrow">
      <formula>FLOOR(H50,1)=TODAY()+1</formula>
    </cfRule>
  </conditionalFormatting>
  <conditionalFormatting sqref="H50">
    <cfRule type="expression" dxfId="949" priority="322">
      <formula>IF(H50&lt;TODAY(),"","")</formula>
    </cfRule>
  </conditionalFormatting>
  <conditionalFormatting sqref="J50">
    <cfRule type="containsText" dxfId="948" priority="321" operator="containsText" text="FALSO">
      <formula>NOT(ISERROR(SEARCH("FALSO",J50)))</formula>
    </cfRule>
  </conditionalFormatting>
  <conditionalFormatting sqref="H50">
    <cfRule type="expression" dxfId="947" priority="320">
      <formula>AND(E50="",H50&gt;0)</formula>
    </cfRule>
  </conditionalFormatting>
  <conditionalFormatting sqref="H50">
    <cfRule type="cellIs" dxfId="946" priority="319" operator="equal">
      <formula>0</formula>
    </cfRule>
  </conditionalFormatting>
  <conditionalFormatting sqref="B50">
    <cfRule type="timePeriod" dxfId="945" priority="318" timePeriod="tomorrow">
      <formula>FLOOR(B50,1)=TODAY()+1</formula>
    </cfRule>
  </conditionalFormatting>
  <conditionalFormatting sqref="D50">
    <cfRule type="expression" dxfId="944" priority="316">
      <formula>$B50="Pausado"</formula>
    </cfRule>
  </conditionalFormatting>
  <conditionalFormatting sqref="A49">
    <cfRule type="cellIs" dxfId="943" priority="314" operator="equal">
      <formula>"Expirado"</formula>
    </cfRule>
  </conditionalFormatting>
  <conditionalFormatting sqref="A49">
    <cfRule type="cellIs" dxfId="942" priority="310" operator="equal">
      <formula>"Quase expirando"</formula>
    </cfRule>
    <cfRule type="cellIs" dxfId="941" priority="313" operator="equal">
      <formula>"Ativado"</formula>
    </cfRule>
  </conditionalFormatting>
  <conditionalFormatting sqref="A49">
    <cfRule type="cellIs" dxfId="940" priority="312" operator="equal">
      <formula>"Programado"</formula>
    </cfRule>
  </conditionalFormatting>
  <conditionalFormatting sqref="A49">
    <cfRule type="cellIs" dxfId="939" priority="311" operator="equal">
      <formula>"Expira amanhã"</formula>
    </cfRule>
  </conditionalFormatting>
  <conditionalFormatting sqref="A49">
    <cfRule type="cellIs" dxfId="938" priority="309" operator="equal">
      <formula>"Expira hoje"</formula>
    </cfRule>
  </conditionalFormatting>
  <conditionalFormatting sqref="G49">
    <cfRule type="timePeriod" dxfId="937" priority="308" timePeriod="tomorrow">
      <formula>FLOOR(G49,1)=TODAY()+1</formula>
    </cfRule>
  </conditionalFormatting>
  <conditionalFormatting sqref="H49">
    <cfRule type="timePeriod" dxfId="936" priority="307" timePeriod="tomorrow">
      <formula>FLOOR(H49,1)=TODAY()+1</formula>
    </cfRule>
  </conditionalFormatting>
  <conditionalFormatting sqref="H49">
    <cfRule type="expression" dxfId="935" priority="306">
      <formula>IF(H49&lt;TODAY(),"","")</formula>
    </cfRule>
  </conditionalFormatting>
  <conditionalFormatting sqref="J49">
    <cfRule type="containsText" dxfId="934" priority="305" operator="containsText" text="FALSO">
      <formula>NOT(ISERROR(SEARCH("FALSO",J49)))</formula>
    </cfRule>
  </conditionalFormatting>
  <conditionalFormatting sqref="H49">
    <cfRule type="expression" dxfId="933" priority="304">
      <formula>AND(E49="",H49&gt;0)</formula>
    </cfRule>
  </conditionalFormatting>
  <conditionalFormatting sqref="H49">
    <cfRule type="cellIs" dxfId="932" priority="303" operator="equal">
      <formula>0</formula>
    </cfRule>
  </conditionalFormatting>
  <conditionalFormatting sqref="B49">
    <cfRule type="timePeriod" dxfId="931" priority="302" timePeriod="tomorrow">
      <formula>FLOOR(B49,1)=TODAY()+1</formula>
    </cfRule>
  </conditionalFormatting>
  <conditionalFormatting sqref="D49">
    <cfRule type="expression" dxfId="930" priority="300">
      <formula>$B49="Pausado"</formula>
    </cfRule>
  </conditionalFormatting>
  <conditionalFormatting sqref="A48">
    <cfRule type="cellIs" dxfId="929" priority="298" operator="equal">
      <formula>"Expirado"</formula>
    </cfRule>
  </conditionalFormatting>
  <conditionalFormatting sqref="A48">
    <cfRule type="cellIs" dxfId="928" priority="294" operator="equal">
      <formula>"Quase expirando"</formula>
    </cfRule>
    <cfRule type="cellIs" dxfId="927" priority="297" operator="equal">
      <formula>"Ativado"</formula>
    </cfRule>
  </conditionalFormatting>
  <conditionalFormatting sqref="A48">
    <cfRule type="cellIs" dxfId="926" priority="296" operator="equal">
      <formula>"Programado"</formula>
    </cfRule>
  </conditionalFormatting>
  <conditionalFormatting sqref="A48">
    <cfRule type="cellIs" dxfId="925" priority="295" operator="equal">
      <formula>"Expira amanhã"</formula>
    </cfRule>
  </conditionalFormatting>
  <conditionalFormatting sqref="A48">
    <cfRule type="cellIs" dxfId="924" priority="293" operator="equal">
      <formula>"Expira hoje"</formula>
    </cfRule>
  </conditionalFormatting>
  <conditionalFormatting sqref="G48">
    <cfRule type="timePeriod" dxfId="923" priority="292" timePeriod="tomorrow">
      <formula>FLOOR(G48,1)=TODAY()+1</formula>
    </cfRule>
  </conditionalFormatting>
  <conditionalFormatting sqref="H48">
    <cfRule type="timePeriod" dxfId="922" priority="291" timePeriod="tomorrow">
      <formula>FLOOR(H48,1)=TODAY()+1</formula>
    </cfRule>
  </conditionalFormatting>
  <conditionalFormatting sqref="H48">
    <cfRule type="expression" dxfId="921" priority="290">
      <formula>IF(H48&lt;TODAY(),"","")</formula>
    </cfRule>
  </conditionalFormatting>
  <conditionalFormatting sqref="J48">
    <cfRule type="containsText" dxfId="920" priority="289" operator="containsText" text="FALSO">
      <formula>NOT(ISERROR(SEARCH("FALSO",J48)))</formula>
    </cfRule>
  </conditionalFormatting>
  <conditionalFormatting sqref="H48">
    <cfRule type="expression" dxfId="919" priority="288">
      <formula>AND(E48="",H48&gt;0)</formula>
    </cfRule>
  </conditionalFormatting>
  <conditionalFormatting sqref="H48">
    <cfRule type="cellIs" dxfId="918" priority="287" operator="equal">
      <formula>0</formula>
    </cfRule>
  </conditionalFormatting>
  <conditionalFormatting sqref="B48">
    <cfRule type="timePeriod" dxfId="917" priority="286" timePeriod="tomorrow">
      <formula>FLOOR(B48,1)=TODAY()+1</formula>
    </cfRule>
  </conditionalFormatting>
  <conditionalFormatting sqref="D48">
    <cfRule type="expression" dxfId="916" priority="284">
      <formula>$B48="Pausado"</formula>
    </cfRule>
  </conditionalFormatting>
  <conditionalFormatting sqref="A45:A47">
    <cfRule type="cellIs" dxfId="915" priority="282" operator="equal">
      <formula>"Expirado"</formula>
    </cfRule>
  </conditionalFormatting>
  <conditionalFormatting sqref="A45:A47">
    <cfRule type="cellIs" dxfId="914" priority="278" operator="equal">
      <formula>"Quase expirando"</formula>
    </cfRule>
    <cfRule type="cellIs" dxfId="913" priority="281" operator="equal">
      <formula>"Ativado"</formula>
    </cfRule>
  </conditionalFormatting>
  <conditionalFormatting sqref="A45:A47">
    <cfRule type="cellIs" dxfId="912" priority="280" operator="equal">
      <formula>"Programado"</formula>
    </cfRule>
  </conditionalFormatting>
  <conditionalFormatting sqref="A45:A47">
    <cfRule type="cellIs" dxfId="911" priority="279" operator="equal">
      <formula>"Expira amanhã"</formula>
    </cfRule>
  </conditionalFormatting>
  <conditionalFormatting sqref="A45:A47">
    <cfRule type="cellIs" dxfId="910" priority="277" operator="equal">
      <formula>"Expira hoje"</formula>
    </cfRule>
  </conditionalFormatting>
  <conditionalFormatting sqref="G45:G47">
    <cfRule type="timePeriod" dxfId="909" priority="276" timePeriod="tomorrow">
      <formula>FLOOR(G45,1)=TODAY()+1</formula>
    </cfRule>
  </conditionalFormatting>
  <conditionalFormatting sqref="H45:H47">
    <cfRule type="timePeriod" dxfId="908" priority="275" timePeriod="tomorrow">
      <formula>FLOOR(H45,1)=TODAY()+1</formula>
    </cfRule>
  </conditionalFormatting>
  <conditionalFormatting sqref="H45:H47">
    <cfRule type="expression" dxfId="907" priority="274">
      <formula>IF(H45&lt;TODAY(),"","")</formula>
    </cfRule>
  </conditionalFormatting>
  <conditionalFormatting sqref="J45:J47">
    <cfRule type="containsText" dxfId="906" priority="273" operator="containsText" text="FALSO">
      <formula>NOT(ISERROR(SEARCH("FALSO",J45)))</formula>
    </cfRule>
  </conditionalFormatting>
  <conditionalFormatting sqref="H45:H47">
    <cfRule type="expression" dxfId="905" priority="272">
      <formula>AND(E45="",H45&gt;0)</formula>
    </cfRule>
  </conditionalFormatting>
  <conditionalFormatting sqref="H45:H47">
    <cfRule type="cellIs" dxfId="904" priority="271" operator="equal">
      <formula>0</formula>
    </cfRule>
  </conditionalFormatting>
  <conditionalFormatting sqref="B45:B47">
    <cfRule type="timePeriod" dxfId="903" priority="270" timePeriod="tomorrow">
      <formula>FLOOR(B45,1)=TODAY()+1</formula>
    </cfRule>
  </conditionalFormatting>
  <conditionalFormatting sqref="D45:D47">
    <cfRule type="expression" dxfId="902" priority="268">
      <formula>$B45="Pausado"</formula>
    </cfRule>
  </conditionalFormatting>
  <conditionalFormatting sqref="A44">
    <cfRule type="cellIs" dxfId="901" priority="264" operator="equal">
      <formula>"Expirado"</formula>
    </cfRule>
  </conditionalFormatting>
  <conditionalFormatting sqref="A44">
    <cfRule type="cellIs" dxfId="900" priority="260" operator="equal">
      <formula>"Quase expirando"</formula>
    </cfRule>
    <cfRule type="cellIs" dxfId="899" priority="263" operator="equal">
      <formula>"Ativado"</formula>
    </cfRule>
  </conditionalFormatting>
  <conditionalFormatting sqref="A44">
    <cfRule type="cellIs" dxfId="898" priority="262" operator="equal">
      <formula>"Programado"</formula>
    </cfRule>
  </conditionalFormatting>
  <conditionalFormatting sqref="A44">
    <cfRule type="cellIs" dxfId="897" priority="261" operator="equal">
      <formula>"Expira amanhã"</formula>
    </cfRule>
  </conditionalFormatting>
  <conditionalFormatting sqref="A44">
    <cfRule type="cellIs" dxfId="896" priority="259" operator="equal">
      <formula>"Expira hoje"</formula>
    </cfRule>
  </conditionalFormatting>
  <conditionalFormatting sqref="G44">
    <cfRule type="timePeriod" dxfId="895" priority="258" timePeriod="tomorrow">
      <formula>FLOOR(G44,1)=TODAY()+1</formula>
    </cfRule>
  </conditionalFormatting>
  <conditionalFormatting sqref="H44">
    <cfRule type="timePeriod" dxfId="894" priority="257" timePeriod="tomorrow">
      <formula>FLOOR(H44,1)=TODAY()+1</formula>
    </cfRule>
  </conditionalFormatting>
  <conditionalFormatting sqref="H44">
    <cfRule type="expression" dxfId="893" priority="256">
      <formula>IF(H44&lt;TODAY(),"","")</formula>
    </cfRule>
  </conditionalFormatting>
  <conditionalFormatting sqref="J44">
    <cfRule type="containsText" dxfId="892" priority="255" operator="containsText" text="FALSO">
      <formula>NOT(ISERROR(SEARCH("FALSO",J44)))</formula>
    </cfRule>
  </conditionalFormatting>
  <conditionalFormatting sqref="H44">
    <cfRule type="expression" dxfId="891" priority="254">
      <formula>AND(E44="",H44&gt;0)</formula>
    </cfRule>
  </conditionalFormatting>
  <conditionalFormatting sqref="H44">
    <cfRule type="cellIs" dxfId="890" priority="253" operator="equal">
      <formula>0</formula>
    </cfRule>
  </conditionalFormatting>
  <conditionalFormatting sqref="B44">
    <cfRule type="timePeriod" dxfId="889" priority="252" timePeriod="tomorrow">
      <formula>FLOOR(B44,1)=TODAY()+1</formula>
    </cfRule>
  </conditionalFormatting>
  <conditionalFormatting sqref="D44">
    <cfRule type="expression" dxfId="888" priority="250">
      <formula>$B44="Pausado"</formula>
    </cfRule>
  </conditionalFormatting>
  <conditionalFormatting sqref="A43">
    <cfRule type="cellIs" dxfId="887" priority="248" operator="equal">
      <formula>"Expirado"</formula>
    </cfRule>
  </conditionalFormatting>
  <conditionalFormatting sqref="A43">
    <cfRule type="cellIs" dxfId="886" priority="244" operator="equal">
      <formula>"Quase expirando"</formula>
    </cfRule>
    <cfRule type="cellIs" dxfId="885" priority="247" operator="equal">
      <formula>"Ativado"</formula>
    </cfRule>
  </conditionalFormatting>
  <conditionalFormatting sqref="A43">
    <cfRule type="cellIs" dxfId="884" priority="246" operator="equal">
      <formula>"Programado"</formula>
    </cfRule>
  </conditionalFormatting>
  <conditionalFormatting sqref="A43">
    <cfRule type="cellIs" dxfId="883" priority="245" operator="equal">
      <formula>"Expira amanhã"</formula>
    </cfRule>
  </conditionalFormatting>
  <conditionalFormatting sqref="A43">
    <cfRule type="cellIs" dxfId="882" priority="243" operator="equal">
      <formula>"Expira hoje"</formula>
    </cfRule>
  </conditionalFormatting>
  <conditionalFormatting sqref="G43">
    <cfRule type="timePeriod" dxfId="881" priority="242" timePeriod="tomorrow">
      <formula>FLOOR(G43,1)=TODAY()+1</formula>
    </cfRule>
  </conditionalFormatting>
  <conditionalFormatting sqref="H43">
    <cfRule type="timePeriod" dxfId="880" priority="241" timePeriod="tomorrow">
      <formula>FLOOR(H43,1)=TODAY()+1</formula>
    </cfRule>
  </conditionalFormatting>
  <conditionalFormatting sqref="H43">
    <cfRule type="expression" dxfId="879" priority="240">
      <formula>IF(H43&lt;TODAY(),"","")</formula>
    </cfRule>
  </conditionalFormatting>
  <conditionalFormatting sqref="J43">
    <cfRule type="containsText" dxfId="878" priority="239" operator="containsText" text="FALSO">
      <formula>NOT(ISERROR(SEARCH("FALSO",J43)))</formula>
    </cfRule>
  </conditionalFormatting>
  <conditionalFormatting sqref="H43">
    <cfRule type="expression" dxfId="877" priority="238">
      <formula>AND(E43="",H43&gt;0)</formula>
    </cfRule>
  </conditionalFormatting>
  <conditionalFormatting sqref="H43">
    <cfRule type="cellIs" dxfId="876" priority="237" operator="equal">
      <formula>0</formula>
    </cfRule>
  </conditionalFormatting>
  <conditionalFormatting sqref="B43">
    <cfRule type="timePeriod" dxfId="875" priority="236" timePeriod="tomorrow">
      <formula>FLOOR(B43,1)=TODAY()+1</formula>
    </cfRule>
  </conditionalFormatting>
  <conditionalFormatting sqref="D43">
    <cfRule type="expression" dxfId="874" priority="234">
      <formula>$B43="Pausado"</formula>
    </cfRule>
  </conditionalFormatting>
  <conditionalFormatting sqref="A42">
    <cfRule type="cellIs" dxfId="873" priority="232" operator="equal">
      <formula>"Expirado"</formula>
    </cfRule>
  </conditionalFormatting>
  <conditionalFormatting sqref="A42">
    <cfRule type="cellIs" dxfId="872" priority="228" operator="equal">
      <formula>"Quase expirando"</formula>
    </cfRule>
    <cfRule type="cellIs" dxfId="871" priority="231" operator="equal">
      <formula>"Ativado"</formula>
    </cfRule>
  </conditionalFormatting>
  <conditionalFormatting sqref="A42">
    <cfRule type="cellIs" dxfId="870" priority="230" operator="equal">
      <formula>"Programado"</formula>
    </cfRule>
  </conditionalFormatting>
  <conditionalFormatting sqref="A42">
    <cfRule type="cellIs" dxfId="869" priority="229" operator="equal">
      <formula>"Expira amanhã"</formula>
    </cfRule>
  </conditionalFormatting>
  <conditionalFormatting sqref="A42">
    <cfRule type="cellIs" dxfId="868" priority="227" operator="equal">
      <formula>"Expira hoje"</formula>
    </cfRule>
  </conditionalFormatting>
  <conditionalFormatting sqref="G42">
    <cfRule type="timePeriod" dxfId="867" priority="226" timePeriod="tomorrow">
      <formula>FLOOR(G42,1)=TODAY()+1</formula>
    </cfRule>
  </conditionalFormatting>
  <conditionalFormatting sqref="H42">
    <cfRule type="timePeriod" dxfId="866" priority="225" timePeriod="tomorrow">
      <formula>FLOOR(H42,1)=TODAY()+1</formula>
    </cfRule>
  </conditionalFormatting>
  <conditionalFormatting sqref="H42">
    <cfRule type="expression" dxfId="865" priority="224">
      <formula>IF(H42&lt;TODAY(),"","")</formula>
    </cfRule>
  </conditionalFormatting>
  <conditionalFormatting sqref="J42">
    <cfRule type="containsText" dxfId="864" priority="223" operator="containsText" text="FALSO">
      <formula>NOT(ISERROR(SEARCH("FALSO",J42)))</formula>
    </cfRule>
  </conditionalFormatting>
  <conditionalFormatting sqref="H42">
    <cfRule type="expression" dxfId="863" priority="222">
      <formula>AND(E42="",H42&gt;0)</formula>
    </cfRule>
  </conditionalFormatting>
  <conditionalFormatting sqref="H42">
    <cfRule type="cellIs" dxfId="862" priority="221" operator="equal">
      <formula>0</formula>
    </cfRule>
  </conditionalFormatting>
  <conditionalFormatting sqref="B42">
    <cfRule type="timePeriod" dxfId="861" priority="220" timePeriod="tomorrow">
      <formula>FLOOR(B42,1)=TODAY()+1</formula>
    </cfRule>
  </conditionalFormatting>
  <conditionalFormatting sqref="D42">
    <cfRule type="expression" dxfId="860" priority="218">
      <formula>$B42="Pausado"</formula>
    </cfRule>
  </conditionalFormatting>
  <conditionalFormatting sqref="G41">
    <cfRule type="timePeriod" dxfId="859" priority="210" timePeriod="tomorrow">
      <formula>FLOOR(G41,1)=TODAY()+1</formula>
    </cfRule>
  </conditionalFormatting>
  <conditionalFormatting sqref="H41">
    <cfRule type="timePeriod" dxfId="858" priority="209" timePeriod="tomorrow">
      <formula>FLOOR(H41,1)=TODAY()+1</formula>
    </cfRule>
  </conditionalFormatting>
  <conditionalFormatting sqref="H41">
    <cfRule type="expression" dxfId="857" priority="208">
      <formula>IF(H41&lt;TODAY(),"","")</formula>
    </cfRule>
  </conditionalFormatting>
  <conditionalFormatting sqref="J41">
    <cfRule type="containsText" dxfId="856" priority="207" operator="containsText" text="FALSO">
      <formula>NOT(ISERROR(SEARCH("FALSO",J41)))</formula>
    </cfRule>
  </conditionalFormatting>
  <conditionalFormatting sqref="H41">
    <cfRule type="expression" dxfId="855" priority="206">
      <formula>AND(E41="",H41&gt;0)</formula>
    </cfRule>
  </conditionalFormatting>
  <conditionalFormatting sqref="H41">
    <cfRule type="cellIs" dxfId="854" priority="205" operator="equal">
      <formula>0</formula>
    </cfRule>
  </conditionalFormatting>
  <conditionalFormatting sqref="B41">
    <cfRule type="timePeriod" dxfId="853" priority="204" timePeriod="tomorrow">
      <formula>FLOOR(B41,1)=TODAY()+1</formula>
    </cfRule>
  </conditionalFormatting>
  <conditionalFormatting sqref="D41">
    <cfRule type="expression" dxfId="852" priority="202">
      <formula>$B41="Pausado"</formula>
    </cfRule>
  </conditionalFormatting>
  <conditionalFormatting sqref="G40">
    <cfRule type="timePeriod" dxfId="851" priority="194" timePeriod="tomorrow">
      <formula>FLOOR(G40,1)=TODAY()+1</formula>
    </cfRule>
  </conditionalFormatting>
  <conditionalFormatting sqref="H40">
    <cfRule type="timePeriod" dxfId="850" priority="193" timePeriod="tomorrow">
      <formula>FLOOR(H40,1)=TODAY()+1</formula>
    </cfRule>
  </conditionalFormatting>
  <conditionalFormatting sqref="H40">
    <cfRule type="expression" dxfId="849" priority="192">
      <formula>IF(H40&lt;TODAY(),"","")</formula>
    </cfRule>
  </conditionalFormatting>
  <conditionalFormatting sqref="J40">
    <cfRule type="containsText" dxfId="848" priority="191" operator="containsText" text="FALSO">
      <formula>NOT(ISERROR(SEARCH("FALSO",J40)))</formula>
    </cfRule>
  </conditionalFormatting>
  <conditionalFormatting sqref="H40">
    <cfRule type="expression" dxfId="847" priority="190">
      <formula>AND(E40="",H40&gt;0)</formula>
    </cfRule>
  </conditionalFormatting>
  <conditionalFormatting sqref="H40">
    <cfRule type="cellIs" dxfId="846" priority="189" operator="equal">
      <formula>0</formula>
    </cfRule>
  </conditionalFormatting>
  <conditionalFormatting sqref="B40">
    <cfRule type="timePeriod" dxfId="845" priority="188" timePeriod="tomorrow">
      <formula>FLOOR(B40,1)=TODAY()+1</formula>
    </cfRule>
  </conditionalFormatting>
  <conditionalFormatting sqref="D40">
    <cfRule type="expression" dxfId="844" priority="186">
      <formula>$B40="Pausado"</formula>
    </cfRule>
  </conditionalFormatting>
  <conditionalFormatting sqref="G39">
    <cfRule type="timePeriod" dxfId="843" priority="178" timePeriod="tomorrow">
      <formula>FLOOR(G39,1)=TODAY()+1</formula>
    </cfRule>
  </conditionalFormatting>
  <conditionalFormatting sqref="H39">
    <cfRule type="timePeriod" dxfId="842" priority="177" timePeriod="tomorrow">
      <formula>FLOOR(H39,1)=TODAY()+1</formula>
    </cfRule>
  </conditionalFormatting>
  <conditionalFormatting sqref="H39">
    <cfRule type="expression" dxfId="841" priority="176">
      <formula>IF(H39&lt;TODAY(),"","")</formula>
    </cfRule>
  </conditionalFormatting>
  <conditionalFormatting sqref="J39">
    <cfRule type="containsText" dxfId="840" priority="175" operator="containsText" text="FALSO">
      <formula>NOT(ISERROR(SEARCH("FALSO",J39)))</formula>
    </cfRule>
  </conditionalFormatting>
  <conditionalFormatting sqref="H39">
    <cfRule type="expression" dxfId="839" priority="174">
      <formula>AND(E39="",H39&gt;0)</formula>
    </cfRule>
  </conditionalFormatting>
  <conditionalFormatting sqref="H39">
    <cfRule type="cellIs" dxfId="838" priority="173" operator="equal">
      <formula>0</formula>
    </cfRule>
  </conditionalFormatting>
  <conditionalFormatting sqref="B39">
    <cfRule type="timePeriod" dxfId="837" priority="172" timePeriod="tomorrow">
      <formula>FLOOR(B39,1)=TODAY()+1</formula>
    </cfRule>
  </conditionalFormatting>
  <conditionalFormatting sqref="D39">
    <cfRule type="expression" dxfId="836" priority="170">
      <formula>$B39="Pausado"</formula>
    </cfRule>
  </conditionalFormatting>
  <conditionalFormatting sqref="G38">
    <cfRule type="timePeriod" dxfId="835" priority="162" timePeriod="tomorrow">
      <formula>FLOOR(G38,1)=TODAY()+1</formula>
    </cfRule>
  </conditionalFormatting>
  <conditionalFormatting sqref="H38">
    <cfRule type="timePeriod" dxfId="834" priority="161" timePeriod="tomorrow">
      <formula>FLOOR(H38,1)=TODAY()+1</formula>
    </cfRule>
  </conditionalFormatting>
  <conditionalFormatting sqref="H38">
    <cfRule type="expression" dxfId="833" priority="160">
      <formula>IF(H38&lt;TODAY(),"","")</formula>
    </cfRule>
  </conditionalFormatting>
  <conditionalFormatting sqref="J38">
    <cfRule type="containsText" dxfId="832" priority="159" operator="containsText" text="FALSO">
      <formula>NOT(ISERROR(SEARCH("FALSO",J38)))</formula>
    </cfRule>
  </conditionalFormatting>
  <conditionalFormatting sqref="H38">
    <cfRule type="expression" dxfId="831" priority="158">
      <formula>AND(E38="",H38&gt;0)</formula>
    </cfRule>
  </conditionalFormatting>
  <conditionalFormatting sqref="H38">
    <cfRule type="cellIs" dxfId="830" priority="157" operator="equal">
      <formula>0</formula>
    </cfRule>
  </conditionalFormatting>
  <conditionalFormatting sqref="B38">
    <cfRule type="timePeriod" dxfId="829" priority="156" timePeriod="tomorrow">
      <formula>FLOOR(B38,1)=TODAY()+1</formula>
    </cfRule>
  </conditionalFormatting>
  <conditionalFormatting sqref="D38">
    <cfRule type="expression" dxfId="828" priority="154">
      <formula>$B38="Pausado"</formula>
    </cfRule>
  </conditionalFormatting>
  <conditionalFormatting sqref="A10">
    <cfRule type="cellIs" dxfId="827" priority="136" operator="equal">
      <formula>"Expirado"</formula>
    </cfRule>
  </conditionalFormatting>
  <conditionalFormatting sqref="A10">
    <cfRule type="cellIs" dxfId="826" priority="132" operator="equal">
      <formula>"Quase expirando"</formula>
    </cfRule>
    <cfRule type="cellIs" dxfId="825" priority="135" operator="equal">
      <formula>"Ativado"</formula>
    </cfRule>
  </conditionalFormatting>
  <conditionalFormatting sqref="A10">
    <cfRule type="cellIs" dxfId="824" priority="134" operator="equal">
      <formula>"Programado"</formula>
    </cfRule>
  </conditionalFormatting>
  <conditionalFormatting sqref="A10">
    <cfRule type="cellIs" dxfId="823" priority="133" operator="equal">
      <formula>"Expira amanhã"</formula>
    </cfRule>
  </conditionalFormatting>
  <conditionalFormatting sqref="A10">
    <cfRule type="cellIs" dxfId="822" priority="131" operator="equal">
      <formula>"Expira hoje"</formula>
    </cfRule>
  </conditionalFormatting>
  <conditionalFormatting sqref="B10 G10:H10">
    <cfRule type="timePeriod" dxfId="821" priority="130" timePeriod="tomorrow">
      <formula>FLOOR(B10,1)=TODAY()+1</formula>
    </cfRule>
  </conditionalFormatting>
  <conditionalFormatting sqref="J10">
    <cfRule type="containsText" dxfId="820" priority="129" operator="containsText" text="FALSO">
      <formula>NOT(ISERROR(SEARCH("FALSO",J10)))</formula>
    </cfRule>
  </conditionalFormatting>
  <conditionalFormatting sqref="H10">
    <cfRule type="expression" dxfId="819" priority="128">
      <formula>IF(H10&lt;TODAY(),"","")</formula>
    </cfRule>
  </conditionalFormatting>
  <conditionalFormatting sqref="H10">
    <cfRule type="expression" dxfId="818" priority="127">
      <formula>AND(E10="",H10&gt;0)</formula>
    </cfRule>
  </conditionalFormatting>
  <conditionalFormatting sqref="H10">
    <cfRule type="cellIs" dxfId="817" priority="126" operator="equal">
      <formula>0</formula>
    </cfRule>
  </conditionalFormatting>
  <conditionalFormatting sqref="A9">
    <cfRule type="cellIs" dxfId="816" priority="124" operator="equal">
      <formula>"Expirado"</formula>
    </cfRule>
  </conditionalFormatting>
  <conditionalFormatting sqref="A9">
    <cfRule type="cellIs" dxfId="815" priority="120" operator="equal">
      <formula>"Quase expirando"</formula>
    </cfRule>
    <cfRule type="cellIs" dxfId="814" priority="123" operator="equal">
      <formula>"Ativado"</formula>
    </cfRule>
  </conditionalFormatting>
  <conditionalFormatting sqref="A9">
    <cfRule type="cellIs" dxfId="813" priority="122" operator="equal">
      <formula>"Programado"</formula>
    </cfRule>
  </conditionalFormatting>
  <conditionalFormatting sqref="A9">
    <cfRule type="cellIs" dxfId="812" priority="121" operator="equal">
      <formula>"Expira amanhã"</formula>
    </cfRule>
  </conditionalFormatting>
  <conditionalFormatting sqref="A9">
    <cfRule type="cellIs" dxfId="811" priority="119" operator="equal">
      <formula>"Expira hoje"</formula>
    </cfRule>
  </conditionalFormatting>
  <conditionalFormatting sqref="B9 G9:H9">
    <cfRule type="timePeriod" dxfId="810" priority="118" timePeriod="tomorrow">
      <formula>FLOOR(B9,1)=TODAY()+1</formula>
    </cfRule>
  </conditionalFormatting>
  <conditionalFormatting sqref="J9">
    <cfRule type="containsText" dxfId="809" priority="117" operator="containsText" text="FALSO">
      <formula>NOT(ISERROR(SEARCH("FALSO",J9)))</formula>
    </cfRule>
  </conditionalFormatting>
  <conditionalFormatting sqref="H9">
    <cfRule type="expression" dxfId="808" priority="116">
      <formula>IF(H9&lt;TODAY(),"","")</formula>
    </cfRule>
  </conditionalFormatting>
  <conditionalFormatting sqref="H9">
    <cfRule type="expression" dxfId="807" priority="115">
      <formula>AND(E9="",H9&gt;0)</formula>
    </cfRule>
  </conditionalFormatting>
  <conditionalFormatting sqref="H9">
    <cfRule type="cellIs" dxfId="806" priority="114" operator="equal">
      <formula>0</formula>
    </cfRule>
  </conditionalFormatting>
  <conditionalFormatting sqref="C12:D12">
    <cfRule type="expression" dxfId="805" priority="111">
      <formula>$B12="Pausado"</formula>
    </cfRule>
  </conditionalFormatting>
  <conditionalFormatting sqref="C12">
    <cfRule type="duplicateValues" dxfId="804" priority="112"/>
  </conditionalFormatting>
  <conditionalFormatting sqref="C13:D13">
    <cfRule type="expression" dxfId="803" priority="109">
      <formula>$B13="Pausado"</formula>
    </cfRule>
  </conditionalFormatting>
  <conditionalFormatting sqref="C13">
    <cfRule type="duplicateValues" dxfId="802" priority="110"/>
  </conditionalFormatting>
  <conditionalFormatting sqref="C14:D14">
    <cfRule type="expression" dxfId="801" priority="107">
      <formula>$B14="Pausado"</formula>
    </cfRule>
  </conditionalFormatting>
  <conditionalFormatting sqref="C14">
    <cfRule type="duplicateValues" dxfId="800" priority="108"/>
  </conditionalFormatting>
  <conditionalFormatting sqref="C15:D15">
    <cfRule type="expression" dxfId="799" priority="105">
      <formula>$B15="Pausado"</formula>
    </cfRule>
  </conditionalFormatting>
  <conditionalFormatting sqref="C15">
    <cfRule type="duplicateValues" dxfId="798" priority="106"/>
  </conditionalFormatting>
  <conditionalFormatting sqref="C16:D16">
    <cfRule type="expression" dxfId="797" priority="103">
      <formula>$B16="Pausado"</formula>
    </cfRule>
  </conditionalFormatting>
  <conditionalFormatting sqref="C16">
    <cfRule type="duplicateValues" dxfId="796" priority="104"/>
  </conditionalFormatting>
  <conditionalFormatting sqref="C17:D17">
    <cfRule type="expression" dxfId="795" priority="101">
      <formula>$B17="Pausado"</formula>
    </cfRule>
  </conditionalFormatting>
  <conditionalFormatting sqref="C17">
    <cfRule type="duplicateValues" dxfId="794" priority="102"/>
  </conditionalFormatting>
  <conditionalFormatting sqref="C18:D18">
    <cfRule type="expression" dxfId="793" priority="99">
      <formula>$B18="Pausado"</formula>
    </cfRule>
  </conditionalFormatting>
  <conditionalFormatting sqref="C18">
    <cfRule type="duplicateValues" dxfId="792" priority="100"/>
  </conditionalFormatting>
  <conditionalFormatting sqref="C19:D19">
    <cfRule type="expression" dxfId="791" priority="97">
      <formula>$B19="Pausado"</formula>
    </cfRule>
  </conditionalFormatting>
  <conditionalFormatting sqref="C19">
    <cfRule type="duplicateValues" dxfId="790" priority="98"/>
  </conditionalFormatting>
  <conditionalFormatting sqref="C20:D20">
    <cfRule type="expression" dxfId="789" priority="95">
      <formula>$B20="Pausado"</formula>
    </cfRule>
  </conditionalFormatting>
  <conditionalFormatting sqref="C20">
    <cfRule type="duplicateValues" dxfId="788" priority="96"/>
  </conditionalFormatting>
  <conditionalFormatting sqref="C21:D21">
    <cfRule type="expression" dxfId="787" priority="93">
      <formula>$B21="Pausado"</formula>
    </cfRule>
  </conditionalFormatting>
  <conditionalFormatting sqref="C21">
    <cfRule type="duplicateValues" dxfId="786" priority="94"/>
  </conditionalFormatting>
  <conditionalFormatting sqref="C22:D22">
    <cfRule type="expression" dxfId="785" priority="91">
      <formula>$B22="Pausado"</formula>
    </cfRule>
  </conditionalFormatting>
  <conditionalFormatting sqref="C22">
    <cfRule type="duplicateValues" dxfId="784" priority="92"/>
  </conditionalFormatting>
  <conditionalFormatting sqref="C23:D23">
    <cfRule type="expression" dxfId="783" priority="89">
      <formula>$B23="Pausado"</formula>
    </cfRule>
  </conditionalFormatting>
  <conditionalFormatting sqref="C23">
    <cfRule type="duplicateValues" dxfId="782" priority="90"/>
  </conditionalFormatting>
  <conditionalFormatting sqref="C24:D24">
    <cfRule type="expression" dxfId="781" priority="87">
      <formula>$B24="Pausado"</formula>
    </cfRule>
  </conditionalFormatting>
  <conditionalFormatting sqref="C24">
    <cfRule type="duplicateValues" dxfId="780" priority="88"/>
  </conditionalFormatting>
  <conditionalFormatting sqref="C25:D25">
    <cfRule type="expression" dxfId="779" priority="85">
      <formula>$B25="Pausado"</formula>
    </cfRule>
  </conditionalFormatting>
  <conditionalFormatting sqref="C25">
    <cfRule type="duplicateValues" dxfId="778" priority="86"/>
  </conditionalFormatting>
  <conditionalFormatting sqref="C26:D26">
    <cfRule type="expression" dxfId="777" priority="83">
      <formula>$B26="Pausado"</formula>
    </cfRule>
  </conditionalFormatting>
  <conditionalFormatting sqref="C26">
    <cfRule type="duplicateValues" dxfId="776" priority="84"/>
  </conditionalFormatting>
  <conditionalFormatting sqref="C27:D27">
    <cfRule type="expression" dxfId="775" priority="81">
      <formula>$B27="Pausado"</formula>
    </cfRule>
  </conditionalFormatting>
  <conditionalFormatting sqref="C27">
    <cfRule type="duplicateValues" dxfId="774" priority="82"/>
  </conditionalFormatting>
  <conditionalFormatting sqref="C28:D28">
    <cfRule type="expression" dxfId="773" priority="79">
      <formula>$B28="Pausado"</formula>
    </cfRule>
  </conditionalFormatting>
  <conditionalFormatting sqref="C28">
    <cfRule type="duplicateValues" dxfId="772" priority="80"/>
  </conditionalFormatting>
  <conditionalFormatting sqref="C29:D29">
    <cfRule type="expression" dxfId="771" priority="77">
      <formula>$B29="Pausado"</formula>
    </cfRule>
  </conditionalFormatting>
  <conditionalFormatting sqref="C29">
    <cfRule type="duplicateValues" dxfId="770" priority="78"/>
  </conditionalFormatting>
  <conditionalFormatting sqref="C30:D30">
    <cfRule type="expression" dxfId="769" priority="75">
      <formula>$B30="Pausado"</formula>
    </cfRule>
  </conditionalFormatting>
  <conditionalFormatting sqref="C30">
    <cfRule type="duplicateValues" dxfId="768" priority="76"/>
  </conditionalFormatting>
  <conditionalFormatting sqref="C31:D31">
    <cfRule type="expression" dxfId="767" priority="73">
      <formula>$B31="Pausado"</formula>
    </cfRule>
  </conditionalFormatting>
  <conditionalFormatting sqref="C31">
    <cfRule type="duplicateValues" dxfId="766" priority="74"/>
  </conditionalFormatting>
  <conditionalFormatting sqref="C32:D32">
    <cfRule type="expression" dxfId="765" priority="71">
      <formula>$B32="Pausado"</formula>
    </cfRule>
  </conditionalFormatting>
  <conditionalFormatting sqref="C32">
    <cfRule type="duplicateValues" dxfId="764" priority="72"/>
  </conditionalFormatting>
  <conditionalFormatting sqref="C33:D33">
    <cfRule type="expression" dxfId="763" priority="69">
      <formula>$B33="Pausado"</formula>
    </cfRule>
  </conditionalFormatting>
  <conditionalFormatting sqref="C33">
    <cfRule type="duplicateValues" dxfId="762" priority="70"/>
  </conditionalFormatting>
  <conditionalFormatting sqref="C34:D34">
    <cfRule type="expression" dxfId="761" priority="67">
      <formula>$B34="Pausado"</formula>
    </cfRule>
  </conditionalFormatting>
  <conditionalFormatting sqref="C34">
    <cfRule type="duplicateValues" dxfId="760" priority="68"/>
  </conditionalFormatting>
  <conditionalFormatting sqref="C35:D35">
    <cfRule type="expression" dxfId="759" priority="65">
      <formula>$B35="Pausado"</formula>
    </cfRule>
  </conditionalFormatting>
  <conditionalFormatting sqref="C35">
    <cfRule type="duplicateValues" dxfId="758" priority="66"/>
  </conditionalFormatting>
  <conditionalFormatting sqref="C36:D36">
    <cfRule type="expression" dxfId="757" priority="63">
      <formula>$B36="Pausado"</formula>
    </cfRule>
  </conditionalFormatting>
  <conditionalFormatting sqref="C36">
    <cfRule type="duplicateValues" dxfId="756" priority="64"/>
  </conditionalFormatting>
  <conditionalFormatting sqref="C37:D37">
    <cfRule type="expression" dxfId="755" priority="61">
      <formula>$B37="Pausado"</formula>
    </cfRule>
  </conditionalFormatting>
  <conditionalFormatting sqref="C37">
    <cfRule type="duplicateValues" dxfId="754" priority="62"/>
  </conditionalFormatting>
  <conditionalFormatting sqref="A8">
    <cfRule type="cellIs" dxfId="753" priority="60" operator="equal">
      <formula>"Expirado"</formula>
    </cfRule>
  </conditionalFormatting>
  <conditionalFormatting sqref="A8">
    <cfRule type="cellIs" dxfId="752" priority="56" operator="equal">
      <formula>"Quase expirando"</formula>
    </cfRule>
    <cfRule type="cellIs" dxfId="751" priority="59" operator="equal">
      <formula>"Ativado"</formula>
    </cfRule>
  </conditionalFormatting>
  <conditionalFormatting sqref="A8">
    <cfRule type="cellIs" dxfId="750" priority="58" operator="equal">
      <formula>"Programado"</formula>
    </cfRule>
  </conditionalFormatting>
  <conditionalFormatting sqref="A8">
    <cfRule type="cellIs" dxfId="749" priority="57" operator="equal">
      <formula>"Expira amanhã"</formula>
    </cfRule>
  </conditionalFormatting>
  <conditionalFormatting sqref="A8">
    <cfRule type="cellIs" dxfId="748" priority="55" operator="equal">
      <formula>"Expira hoje"</formula>
    </cfRule>
  </conditionalFormatting>
  <conditionalFormatting sqref="B8 G8:H8">
    <cfRule type="timePeriod" dxfId="747" priority="54" timePeriod="tomorrow">
      <formula>FLOOR(B8,1)=TODAY()+1</formula>
    </cfRule>
  </conditionalFormatting>
  <conditionalFormatting sqref="J8">
    <cfRule type="containsText" dxfId="746" priority="53" operator="containsText" text="FALSO">
      <formula>NOT(ISERROR(SEARCH("FALSO",J8)))</formula>
    </cfRule>
  </conditionalFormatting>
  <conditionalFormatting sqref="H8">
    <cfRule type="expression" dxfId="745" priority="52">
      <formula>IF(H8&lt;TODAY(),"","")</formula>
    </cfRule>
  </conditionalFormatting>
  <conditionalFormatting sqref="H8">
    <cfRule type="expression" dxfId="744" priority="51">
      <formula>AND(E8="",H8&gt;0)</formula>
    </cfRule>
  </conditionalFormatting>
  <conditionalFormatting sqref="H8">
    <cfRule type="cellIs" dxfId="743" priority="50" operator="equal">
      <formula>0</formula>
    </cfRule>
  </conditionalFormatting>
  <conditionalFormatting sqref="A7">
    <cfRule type="cellIs" dxfId="742" priority="48" operator="equal">
      <formula>"Expirado"</formula>
    </cfRule>
  </conditionalFormatting>
  <conditionalFormatting sqref="A7">
    <cfRule type="cellIs" dxfId="741" priority="44" operator="equal">
      <formula>"Quase expirando"</formula>
    </cfRule>
    <cfRule type="cellIs" dxfId="740" priority="47" operator="equal">
      <formula>"Ativado"</formula>
    </cfRule>
  </conditionalFormatting>
  <conditionalFormatting sqref="A7">
    <cfRule type="cellIs" dxfId="739" priority="46" operator="equal">
      <formula>"Programado"</formula>
    </cfRule>
  </conditionalFormatting>
  <conditionalFormatting sqref="A7">
    <cfRule type="cellIs" dxfId="738" priority="45" operator="equal">
      <formula>"Expira amanhã"</formula>
    </cfRule>
  </conditionalFormatting>
  <conditionalFormatting sqref="A7">
    <cfRule type="cellIs" dxfId="737" priority="43" operator="equal">
      <formula>"Expira hoje"</formula>
    </cfRule>
  </conditionalFormatting>
  <conditionalFormatting sqref="B7 G7:H7">
    <cfRule type="timePeriod" dxfId="736" priority="42" timePeriod="tomorrow">
      <formula>FLOOR(B7,1)=TODAY()+1</formula>
    </cfRule>
  </conditionalFormatting>
  <conditionalFormatting sqref="J7">
    <cfRule type="containsText" dxfId="735" priority="41" operator="containsText" text="FALSO">
      <formula>NOT(ISERROR(SEARCH("FALSO",J7)))</formula>
    </cfRule>
  </conditionalFormatting>
  <conditionalFormatting sqref="H7">
    <cfRule type="expression" dxfId="734" priority="40">
      <formula>IF(H7&lt;TODAY(),"","")</formula>
    </cfRule>
  </conditionalFormatting>
  <conditionalFormatting sqref="H7">
    <cfRule type="expression" dxfId="733" priority="39">
      <formula>AND(E7="",H7&gt;0)</formula>
    </cfRule>
  </conditionalFormatting>
  <conditionalFormatting sqref="H7">
    <cfRule type="cellIs" dxfId="732" priority="38" operator="equal">
      <formula>0</formula>
    </cfRule>
  </conditionalFormatting>
  <conditionalFormatting sqref="A6">
    <cfRule type="cellIs" dxfId="731" priority="36" operator="equal">
      <formula>"Expirado"</formula>
    </cfRule>
  </conditionalFormatting>
  <conditionalFormatting sqref="A6">
    <cfRule type="cellIs" dxfId="730" priority="32" operator="equal">
      <formula>"Quase expirando"</formula>
    </cfRule>
    <cfRule type="cellIs" dxfId="729" priority="35" operator="equal">
      <formula>"Ativado"</formula>
    </cfRule>
  </conditionalFormatting>
  <conditionalFormatting sqref="A6">
    <cfRule type="cellIs" dxfId="728" priority="34" operator="equal">
      <formula>"Programado"</formula>
    </cfRule>
  </conditionalFormatting>
  <conditionalFormatting sqref="A6">
    <cfRule type="cellIs" dxfId="727" priority="33" operator="equal">
      <formula>"Expira amanhã"</formula>
    </cfRule>
  </conditionalFormatting>
  <conditionalFormatting sqref="A6">
    <cfRule type="cellIs" dxfId="726" priority="31" operator="equal">
      <formula>"Expira hoje"</formula>
    </cfRule>
  </conditionalFormatting>
  <conditionalFormatting sqref="B6 G6:H6">
    <cfRule type="timePeriod" dxfId="725" priority="30" timePeriod="tomorrow">
      <formula>FLOOR(B6,1)=TODAY()+1</formula>
    </cfRule>
  </conditionalFormatting>
  <conditionalFormatting sqref="J6">
    <cfRule type="containsText" dxfId="724" priority="29" operator="containsText" text="FALSO">
      <formula>NOT(ISERROR(SEARCH("FALSO",J6)))</formula>
    </cfRule>
  </conditionalFormatting>
  <conditionalFormatting sqref="H6">
    <cfRule type="expression" dxfId="723" priority="28">
      <formula>IF(H6&lt;TODAY(),"","")</formula>
    </cfRule>
  </conditionalFormatting>
  <conditionalFormatting sqref="H6">
    <cfRule type="expression" dxfId="722" priority="27">
      <formula>AND(E6="",H6&gt;0)</formula>
    </cfRule>
  </conditionalFormatting>
  <conditionalFormatting sqref="H6">
    <cfRule type="cellIs" dxfId="721" priority="26" operator="equal">
      <formula>0</formula>
    </cfRule>
  </conditionalFormatting>
  <conditionalFormatting sqref="A5">
    <cfRule type="cellIs" dxfId="720" priority="24" operator="equal">
      <formula>"Expirado"</formula>
    </cfRule>
  </conditionalFormatting>
  <conditionalFormatting sqref="A5">
    <cfRule type="cellIs" dxfId="719" priority="20" operator="equal">
      <formula>"Quase expirando"</formula>
    </cfRule>
    <cfRule type="cellIs" dxfId="718" priority="23" operator="equal">
      <formula>"Ativado"</formula>
    </cfRule>
  </conditionalFormatting>
  <conditionalFormatting sqref="A5">
    <cfRule type="cellIs" dxfId="717" priority="22" operator="equal">
      <formula>"Programado"</formula>
    </cfRule>
  </conditionalFormatting>
  <conditionalFormatting sqref="A5">
    <cfRule type="cellIs" dxfId="716" priority="21" operator="equal">
      <formula>"Expira amanhã"</formula>
    </cfRule>
  </conditionalFormatting>
  <conditionalFormatting sqref="A5">
    <cfRule type="cellIs" dxfId="715" priority="19" operator="equal">
      <formula>"Expira hoje"</formula>
    </cfRule>
  </conditionalFormatting>
  <conditionalFormatting sqref="B5 G5:H5">
    <cfRule type="timePeriod" dxfId="714" priority="18" timePeriod="tomorrow">
      <formula>FLOOR(B5,1)=TODAY()+1</formula>
    </cfRule>
  </conditionalFormatting>
  <conditionalFormatting sqref="J5">
    <cfRule type="containsText" dxfId="713" priority="17" operator="containsText" text="FALSO">
      <formula>NOT(ISERROR(SEARCH("FALSO",J5)))</formula>
    </cfRule>
  </conditionalFormatting>
  <conditionalFormatting sqref="H5">
    <cfRule type="expression" dxfId="712" priority="16">
      <formula>IF(H5&lt;TODAY(),"","")</formula>
    </cfRule>
  </conditionalFormatting>
  <conditionalFormatting sqref="H5">
    <cfRule type="expression" dxfId="711" priority="15">
      <formula>AND(E5="",H5&gt;0)</formula>
    </cfRule>
  </conditionalFormatting>
  <conditionalFormatting sqref="H5">
    <cfRule type="cellIs" dxfId="710" priority="14" operator="equal">
      <formula>0</formula>
    </cfRule>
  </conditionalFormatting>
  <conditionalFormatting sqref="A4">
    <cfRule type="cellIs" dxfId="709" priority="12" operator="equal">
      <formula>"Expirado"</formula>
    </cfRule>
  </conditionalFormatting>
  <conditionalFormatting sqref="A4">
    <cfRule type="cellIs" dxfId="708" priority="8" operator="equal">
      <formula>"Quase expirando"</formula>
    </cfRule>
    <cfRule type="cellIs" dxfId="707" priority="11" operator="equal">
      <formula>"Ativado"</formula>
    </cfRule>
  </conditionalFormatting>
  <conditionalFormatting sqref="A4">
    <cfRule type="cellIs" dxfId="706" priority="10" operator="equal">
      <formula>"Programado"</formula>
    </cfRule>
  </conditionalFormatting>
  <conditionalFormatting sqref="A4">
    <cfRule type="cellIs" dxfId="705" priority="9" operator="equal">
      <formula>"Expira amanhã"</formula>
    </cfRule>
  </conditionalFormatting>
  <conditionalFormatting sqref="A4">
    <cfRule type="cellIs" dxfId="704" priority="7" operator="equal">
      <formula>"Expira hoje"</formula>
    </cfRule>
  </conditionalFormatting>
  <conditionalFormatting sqref="B4 G4:H4">
    <cfRule type="timePeriod" dxfId="703" priority="6" timePeriod="tomorrow">
      <formula>FLOOR(B4,1)=TODAY()+1</formula>
    </cfRule>
  </conditionalFormatting>
  <conditionalFormatting sqref="J4">
    <cfRule type="containsText" dxfId="702" priority="5" operator="containsText" text="FALSO">
      <formula>NOT(ISERROR(SEARCH("FALSO",J4)))</formula>
    </cfRule>
  </conditionalFormatting>
  <conditionalFormatting sqref="H4">
    <cfRule type="expression" dxfId="701" priority="4">
      <formula>IF(H4&lt;TODAY(),"","")</formula>
    </cfRule>
  </conditionalFormatting>
  <conditionalFormatting sqref="H4">
    <cfRule type="expression" dxfId="700" priority="3">
      <formula>AND(E4="",H4&gt;0)</formula>
    </cfRule>
  </conditionalFormatting>
  <conditionalFormatting sqref="H4">
    <cfRule type="cellIs" dxfId="699" priority="2" operator="equal">
      <formula>0</formula>
    </cfRule>
  </conditionalFormatting>
  <dataValidations count="3">
    <dataValidation type="list" allowBlank="1" showInputMessage="1" showErrorMessage="1" sqref="B180:B1048576 A165:A1048576" xr:uid="{7CEA8595-D823-46DC-AD40-EB214EA0CA08}">
      <formula1>"Ativado,Desativado"</formula1>
    </dataValidation>
    <dataValidation type="date" allowBlank="1" showInputMessage="1" showErrorMessage="1" errorTitle="Data Inválida!" error="Data válida apenas no ano de 2025." sqref="E4:E1048576" xr:uid="{24F0AE21-0D38-407A-901E-B0E4DB6C596E}">
      <formula1>45658</formula1>
      <formula2>46387</formula2>
    </dataValidation>
    <dataValidation type="date" errorStyle="warning" allowBlank="1" showInputMessage="1" showErrorMessage="1" errorTitle="Data inválida!" error="A data de término do desconto deve ser igual ou posterior à data de início e não pode ultrapassar 31 dias após ela. Por favor, ajuste as datas e tente novamente." sqref="F4:F179" xr:uid="{7EC0AC62-F162-41AF-B180-FD8B77AFB196}">
      <formula1>E4</formula1>
      <formula2>E4+31</formula2>
    </dataValidation>
  </dataValidations>
  <hyperlinks>
    <hyperlink ref="B69" r:id="rId1" xr:uid="{FFBAF3D0-BDF9-48D8-8B32-9DCD1F033FF6}"/>
    <hyperlink ref="B64" r:id="rId2" xr:uid="{D5FA7B1A-CFED-41AD-B187-737E74D66975}"/>
    <hyperlink ref="B62" r:id="rId3" xr:uid="{57B779B4-67B1-43F1-8CD1-97CB5B15A995}"/>
    <hyperlink ref="B63" r:id="rId4" xr:uid="{63B8AC42-A601-4229-9F2C-32E04D20C925}"/>
    <hyperlink ref="B65" r:id="rId5" xr:uid="{8D7846D0-3F1D-4CC7-8593-14C638589031}"/>
    <hyperlink ref="B66" r:id="rId6" xr:uid="{B9A4E78F-F70B-4321-A408-51464001AE31}"/>
    <hyperlink ref="B67" r:id="rId7" xr:uid="{CFDEB098-6461-40DC-91D5-11589E353FC2}"/>
    <hyperlink ref="B70" r:id="rId8" xr:uid="{EAF468AB-A918-41C5-97F0-9BD49019EC41}"/>
    <hyperlink ref="B71" r:id="rId9" xr:uid="{A312E5FC-0364-4037-87D7-A69BAF3274ED}"/>
    <hyperlink ref="B72" r:id="rId10" xr:uid="{EE1C3421-0B61-478B-945F-B270980C3289}"/>
    <hyperlink ref="B73" r:id="rId11" xr:uid="{DAF6F683-69A3-4FDB-8D88-EB90500EEF7E}"/>
    <hyperlink ref="B74" r:id="rId12" xr:uid="{FC66C14D-325F-408E-BB36-5922E0FBA52B}"/>
    <hyperlink ref="B75" r:id="rId13" xr:uid="{BFDACE0D-8C02-4A77-B301-DD8CE6DCC014}"/>
    <hyperlink ref="B76" r:id="rId14" xr:uid="{BA80D6E4-17EC-43AD-8B09-C39585A9A76D}"/>
    <hyperlink ref="B77" r:id="rId15" display="https://www.mercadolivre.com.br/anuncios/lista/promos?page=1&amp;search=3877957247" xr:uid="{C3BE5B9D-4BDE-484F-B394-92469DF4E564}"/>
    <hyperlink ref="B78" r:id="rId16" xr:uid="{509211ED-E78F-4C3A-A0CB-053A5D4B4633}"/>
    <hyperlink ref="B79" r:id="rId17" xr:uid="{6C22E583-7C87-493A-8D44-F82372226251}"/>
    <hyperlink ref="B80" r:id="rId18" xr:uid="{F4E3073C-B196-46BC-ADFE-EA2AE390A4F8}"/>
    <hyperlink ref="B81" r:id="rId19" xr:uid="{920F0B28-3999-4EAE-A75F-EC06487657C0}"/>
    <hyperlink ref="B82" r:id="rId20" xr:uid="{B506EB18-7F7F-4B69-9463-3157A6E1E0EF}"/>
    <hyperlink ref="B83" r:id="rId21" xr:uid="{303964BE-4554-45BF-9F50-0F9B46CA97C1}"/>
    <hyperlink ref="B84" r:id="rId22" xr:uid="{084D7283-69DF-458C-BACB-40DC8077E050}"/>
    <hyperlink ref="B85" r:id="rId23" display="https://www.mercadolivre.com.br/anuncios/lista/promos?page=1&amp;search=3689463233" xr:uid="{364E5EF1-F78F-45AE-B54E-32866726FE77}"/>
    <hyperlink ref="B86" r:id="rId24" xr:uid="{9D877881-28C2-4E51-A8C9-FA8727C797D9}"/>
    <hyperlink ref="B87" r:id="rId25" xr:uid="{01EAAD04-64AC-4C6A-BB1E-B365A2D68582}"/>
    <hyperlink ref="B88" r:id="rId26" xr:uid="{A7032B47-EDAD-4E71-B323-8C98B94E590A}"/>
    <hyperlink ref="B89" r:id="rId27" xr:uid="{825EFAC8-4FC4-4F17-8677-5AE450A895AF}"/>
    <hyperlink ref="B90" r:id="rId28" xr:uid="{C9AB17CF-74E8-48E7-B84A-13488F560916}"/>
    <hyperlink ref="B91" r:id="rId29" xr:uid="{58A31787-4D97-429B-B80F-551372ED71E4}"/>
    <hyperlink ref="B92" r:id="rId30" xr:uid="{361E9F06-C0DA-44E1-9CAB-4FCB12DB977C}"/>
    <hyperlink ref="B93" r:id="rId31" xr:uid="{94B7D6B1-B4F0-4CE4-BD78-DE1116446108}"/>
    <hyperlink ref="B94" r:id="rId32" xr:uid="{4493D417-6D28-413D-B731-54BAAB3DE754}"/>
    <hyperlink ref="B95" r:id="rId33" xr:uid="{DD8B818C-46EC-4424-ADAF-4EC853CCE6E0}"/>
    <hyperlink ref="B96" r:id="rId34" xr:uid="{3C7F3707-DECB-4D99-9862-3C04502CB7A2}"/>
    <hyperlink ref="B97" r:id="rId35" xr:uid="{A7834A24-DBD7-4BAE-AC87-FCAB827C39B4}"/>
    <hyperlink ref="B98" r:id="rId36" xr:uid="{0D176CBA-556B-40A7-A5F9-C18FAA347E49}"/>
    <hyperlink ref="B99" r:id="rId37" xr:uid="{4239087D-0340-4DA4-B94B-348595695056}"/>
    <hyperlink ref="B100" r:id="rId38" xr:uid="{911F764D-EB93-45B1-8329-99E9A74AB1D7}"/>
    <hyperlink ref="B101" r:id="rId39" xr:uid="{01CFBD31-5CC8-476E-8CC1-AA06D412E302}"/>
    <hyperlink ref="B102" r:id="rId40" xr:uid="{AB238593-5E47-4BA9-9AF8-7CD9C29ADD6A}"/>
    <hyperlink ref="B103" r:id="rId41" xr:uid="{B9A485DA-6332-4DCC-AD3A-68897A7183B3}"/>
    <hyperlink ref="B104" r:id="rId42" xr:uid="{803024E7-0FA6-4AA3-AAA3-E857611430BB}"/>
    <hyperlink ref="B105" r:id="rId43" xr:uid="{3E46BC32-F4F2-41CD-8E00-EA31BCEE8F15}"/>
    <hyperlink ref="B106" r:id="rId44" xr:uid="{80869A6A-F1BD-493A-B59D-6E5C2F272160}"/>
    <hyperlink ref="B107" r:id="rId45" xr:uid="{B902EDA4-8576-4206-8672-C0FB1464D992}"/>
    <hyperlink ref="B108" r:id="rId46" xr:uid="{27CAAB98-04AB-46B1-8E9A-A443946BF0F7}"/>
    <hyperlink ref="B109" r:id="rId47" xr:uid="{9121794F-BFCA-431F-A4B6-F4A20AC7F9A4}"/>
    <hyperlink ref="B110" r:id="rId48" xr:uid="{3B7F092F-BFBF-4FD8-80D7-4B595738E476}"/>
    <hyperlink ref="B111" r:id="rId49" xr:uid="{375078FD-46A8-4F3A-A2C2-D14A2FF34DD0}"/>
    <hyperlink ref="B112" r:id="rId50" xr:uid="{ED19E678-964B-48E3-8C5E-8574B6270D09}"/>
    <hyperlink ref="B113" r:id="rId51" xr:uid="{140B7881-4E8D-41F7-A415-3BC7A1065700}"/>
    <hyperlink ref="B114" r:id="rId52" xr:uid="{77E359A3-B8FE-4BB3-9A84-7FBA36761FD7}"/>
    <hyperlink ref="B115" r:id="rId53" xr:uid="{B3E0BEB8-4F4F-4723-A272-946B09CCA261}"/>
    <hyperlink ref="B116" r:id="rId54" xr:uid="{2B8E1A62-59EB-405C-B4A9-75B4D645C781}"/>
    <hyperlink ref="B117" r:id="rId55" xr:uid="{174365E9-E2B7-4220-940E-6D742FC1E00F}"/>
    <hyperlink ref="B118" r:id="rId56" xr:uid="{E1931854-D38F-46C8-A5C9-A4C9C88319A3}"/>
    <hyperlink ref="B119" r:id="rId57" xr:uid="{5CED2B51-1FA2-4F84-9345-E7801F08C6E5}"/>
    <hyperlink ref="B120" r:id="rId58" xr:uid="{51905ACE-5C9C-465F-85D7-74398AE1159D}"/>
    <hyperlink ref="B121" r:id="rId59" xr:uid="{FC13C23F-863E-4A1A-8007-B3A7B10FE315}"/>
    <hyperlink ref="B122" r:id="rId60" xr:uid="{CE284BFD-7F34-423F-B297-46949C1580F9}"/>
    <hyperlink ref="B123" r:id="rId61" xr:uid="{49A1E89B-2382-4EDD-8CB0-720CC94915F5}"/>
    <hyperlink ref="B124" r:id="rId62" xr:uid="{776D0B88-C271-44B9-9F06-C23F1B0E2F4B}"/>
    <hyperlink ref="B125" r:id="rId63" xr:uid="{AECE0969-1C0E-4265-8876-766475DC9244}"/>
    <hyperlink ref="B126" r:id="rId64" xr:uid="{92A7D4BF-6062-484F-B10E-6F3B5CD66097}"/>
    <hyperlink ref="B127" r:id="rId65" xr:uid="{3DBD4431-9BCE-4D11-96AD-196789AEE450}"/>
    <hyperlink ref="B128" r:id="rId66" xr:uid="{55705981-8EAB-41D2-83F3-9BDCFB4B7FED}"/>
    <hyperlink ref="B129" r:id="rId67" xr:uid="{B66C6192-C509-4FB3-86C7-7B8D017C8EAA}"/>
    <hyperlink ref="B130" r:id="rId68" xr:uid="{D5CB48D9-791B-4505-B7DF-A41A5DE2FA0F}"/>
    <hyperlink ref="B131" r:id="rId69" xr:uid="{790DC859-6C60-4840-B1F8-A2F7B4C1E49D}"/>
    <hyperlink ref="B132" r:id="rId70" xr:uid="{F7FFEC7F-E43D-4D7B-8F3D-1F64631DD047}"/>
    <hyperlink ref="B133" r:id="rId71" xr:uid="{79A7A968-E8DB-479B-80FB-63BEAE67C0FE}"/>
    <hyperlink ref="B135" r:id="rId72" xr:uid="{8FE4569B-AD77-4C38-9A27-9AF8508F6C8B}"/>
    <hyperlink ref="B136" r:id="rId73" xr:uid="{25F42818-E308-4080-8B89-27C6794C88A8}"/>
    <hyperlink ref="B137" r:id="rId74" xr:uid="{7C4A1FD0-2CBF-4E98-B490-3A47A0159B6E}"/>
    <hyperlink ref="B138" r:id="rId75" xr:uid="{5F06BEA8-F180-41ED-B493-5A9E7B75BE13}"/>
    <hyperlink ref="B139" r:id="rId76" xr:uid="{62ACA1BE-D3D6-41EA-A164-BAC39897AFAA}"/>
    <hyperlink ref="B140" r:id="rId77" xr:uid="{B9796812-8E30-4734-8A63-DFF9E664ABE4}"/>
    <hyperlink ref="B141" r:id="rId78" xr:uid="{084EBA73-8A82-4C5B-A907-EAC4C97CA4B0}"/>
    <hyperlink ref="B142" r:id="rId79" xr:uid="{BB94AB8C-FF3E-436C-B07C-BEDB1723FAAB}"/>
    <hyperlink ref="B143" r:id="rId80" display="https://www.mercadolivre.com.br/anuncios/lista/promos?page=1&amp;search=3988896269" xr:uid="{A849F0C4-DF1A-47E6-B21A-D35F8C2781D4}"/>
    <hyperlink ref="B144" r:id="rId81" xr:uid="{A3ABFF9A-62D8-4A3D-AE8D-E2425DC4DFE8}"/>
    <hyperlink ref="B145" r:id="rId82" xr:uid="{9D35A019-E82F-4038-BA13-E78A3FF90A99}"/>
    <hyperlink ref="B146" r:id="rId83" xr:uid="{93F9D06F-F03F-470C-AE55-F04D27BF6AE4}"/>
    <hyperlink ref="B147" r:id="rId84" xr:uid="{B57C9CC1-50AC-4EEE-B7E0-E1354D170EE3}"/>
    <hyperlink ref="B148" r:id="rId85" xr:uid="{6168645D-6BA2-41D5-9D07-C3FE0CB24196}"/>
    <hyperlink ref="B149" r:id="rId86" xr:uid="{F59AE430-33A6-46EF-8E6D-F521FC09FC00}"/>
    <hyperlink ref="B150" r:id="rId87" xr:uid="{B65AF1F5-84E2-4FAD-B5B0-27E289F7E199}"/>
    <hyperlink ref="B151" r:id="rId88" xr:uid="{46614534-ABC8-4E09-ADA5-FB536EE76F11}"/>
    <hyperlink ref="B152" r:id="rId89" xr:uid="{3E0E7DA1-F0A7-4840-B1FC-53DCD21BFAD2}"/>
    <hyperlink ref="B153" r:id="rId90" xr:uid="{90FB41CD-A55F-47BA-A20A-7090DF75864D}"/>
    <hyperlink ref="B154" r:id="rId91" xr:uid="{54EB0712-A76A-4859-A20C-4D6040D6D54D}"/>
    <hyperlink ref="B155" r:id="rId92" xr:uid="{13D69FA4-AEA6-4135-8861-EE7B04FCFB98}"/>
    <hyperlink ref="B156" r:id="rId93" xr:uid="{04B9DAC8-64FD-4A9E-9DA7-317106CB3A03}"/>
    <hyperlink ref="B157" r:id="rId94" xr:uid="{8D77849C-3E29-4A08-9237-C24D45317F4D}"/>
    <hyperlink ref="B158" r:id="rId95" xr:uid="{4B2A2288-785B-4859-B0F6-576A20CA41C7}"/>
    <hyperlink ref="B159" r:id="rId96" xr:uid="{B5B48099-29D5-41C1-A67E-BE3FB7104DF9}"/>
    <hyperlink ref="B160" r:id="rId97" xr:uid="{961EEAFE-2A9F-4ED5-87E1-8F7103F9061D}"/>
    <hyperlink ref="B161" r:id="rId98" xr:uid="{7F525786-9AF4-484C-A48F-C81274CD146C}"/>
    <hyperlink ref="B162" r:id="rId99" xr:uid="{87C6EF1C-6CC1-4D16-A9A8-C9DA8E33E054}"/>
    <hyperlink ref="B163" r:id="rId100" xr:uid="{2798B318-D499-4AE3-831A-F2C468F6F100}"/>
    <hyperlink ref="B164" r:id="rId101" xr:uid="{347D79A1-2E93-4767-B00C-2433EFF13A39}"/>
    <hyperlink ref="B165" r:id="rId102" xr:uid="{D59C9002-4A31-40D1-8FE9-24CDBDF8B302}"/>
    <hyperlink ref="B166" r:id="rId103" xr:uid="{B1C2F260-6CAA-45B4-8759-FA6C4E03BCC0}"/>
    <hyperlink ref="B167" r:id="rId104" xr:uid="{957DF8ED-E8C2-44C1-A27F-CDDA7B4A44D3}"/>
    <hyperlink ref="B168" r:id="rId105" xr:uid="{70608A64-6D8E-49E4-A7A3-4EC5BC9FCC8A}"/>
    <hyperlink ref="B169" r:id="rId106" xr:uid="{03E7FD07-983D-469B-A9D2-113F3D5EE643}"/>
    <hyperlink ref="B170" r:id="rId107" xr:uid="{CAB398ED-516F-45AE-B883-298952EDF84A}"/>
    <hyperlink ref="B171" r:id="rId108" xr:uid="{5B58ABC1-B4C4-4D8D-AA15-252942A39BFC}"/>
    <hyperlink ref="B172" r:id="rId109" xr:uid="{18F3A31E-7C1B-4D14-BCC4-A6BCEB9974E4}"/>
    <hyperlink ref="B173" r:id="rId110" xr:uid="{B01B9251-CECD-4C72-AD6C-4D66830DCD19}"/>
    <hyperlink ref="B174" r:id="rId111" xr:uid="{319574DF-6756-4AC5-B78C-5A86CB886677}"/>
    <hyperlink ref="B175" r:id="rId112" xr:uid="{B908BE23-3087-4968-9E7C-18DB83B854DC}"/>
    <hyperlink ref="B176" r:id="rId113" xr:uid="{0FF9D509-2A55-4E3D-9098-E4FE1D9765CB}"/>
    <hyperlink ref="B177" r:id="rId114" xr:uid="{58FFF527-70CD-4A84-9382-2DDECD04C0C6}"/>
    <hyperlink ref="B178" r:id="rId115" xr:uid="{CD16EAE7-57C4-4FC8-BC57-CFBE825B7581}"/>
    <hyperlink ref="B179" r:id="rId116" xr:uid="{84610A75-E8D5-49D6-824A-E7433BD650D8}"/>
    <hyperlink ref="B68" r:id="rId117" xr:uid="{90F07E1A-6EE7-4B06-B202-C9E0F0FC5ADB}"/>
    <hyperlink ref="B61" r:id="rId118" xr:uid="{EA264D06-8B4D-45CA-B2DB-82DB895E21A3}"/>
    <hyperlink ref="B58" r:id="rId119" xr:uid="{D5094A17-9CA2-43A1-B8CE-79217846626E}"/>
    <hyperlink ref="B59" r:id="rId120" xr:uid="{B361ECBF-F62D-4469-B7D2-BC248FC7F773}"/>
    <hyperlink ref="B60" r:id="rId121" xr:uid="{FC1F58C4-061A-4E26-A285-56EFECD3D357}"/>
    <hyperlink ref="B56" r:id="rId122" xr:uid="{D540EC94-A0DE-4617-BBBF-48015B4D94C2}"/>
    <hyperlink ref="B57" r:id="rId123" xr:uid="{1B70E80C-B765-4860-8801-A70CC145FE64}"/>
    <hyperlink ref="B55" r:id="rId124" xr:uid="{E989FA0A-0F76-48C1-97DB-724E24725151}"/>
    <hyperlink ref="B54" r:id="rId125" xr:uid="{844C7A5A-A410-4B3F-A05A-1A1FD1F794A2}"/>
    <hyperlink ref="B53" r:id="rId126" location="origin=listing,item-id=MLB4250176843" xr:uid="{57D3EC86-7DD5-47D7-8706-21990810B4E6}"/>
    <hyperlink ref="B52" r:id="rId127" xr:uid="{20E83B21-5B39-4477-AF92-415143FC34D2}"/>
    <hyperlink ref="B51" r:id="rId128" xr:uid="{9B398FD3-4F32-42B5-BE24-9A4E0390B8B9}"/>
    <hyperlink ref="B50" r:id="rId129" xr:uid="{B4DAE893-ADC7-453A-B26B-30429358F466}"/>
    <hyperlink ref="B49" r:id="rId130" xr:uid="{C4C5E9F2-3077-46E5-A1DA-B2D152A9565E}"/>
    <hyperlink ref="B47" r:id="rId131" xr:uid="{18340949-E39D-488B-A2DA-F272212F3E7C}"/>
    <hyperlink ref="B48" r:id="rId132" xr:uid="{63880D86-10D0-46F7-89AC-57C92677A1E2}"/>
    <hyperlink ref="B46" r:id="rId133" xr:uid="{0BE4A155-76C0-4825-8B9C-65D0F513A749}"/>
    <hyperlink ref="B45" r:id="rId134" xr:uid="{98DC1664-78D9-48D2-A752-05580A2EDC90}"/>
    <hyperlink ref="B44" r:id="rId135" xr:uid="{70E0F5C0-D067-4769-BBCC-35135E2345D1}"/>
    <hyperlink ref="B43" r:id="rId136" xr:uid="{0C02306A-C69A-43D9-AFCE-5BE6697A1231}"/>
    <hyperlink ref="B42" r:id="rId137" xr:uid="{DA1802C7-398A-49D2-9755-76A9FD4024D6}"/>
    <hyperlink ref="B41" r:id="rId138" xr:uid="{AA6199AE-662D-4E75-BF03-F84DDA7BA1C8}"/>
    <hyperlink ref="B40" r:id="rId139" xr:uid="{4549BAD6-C755-4E4A-9BB7-636AA0C5B66B}"/>
    <hyperlink ref="B38" r:id="rId140" xr:uid="{A3411CC6-CC11-4618-842B-D8F110C7A3DB}"/>
    <hyperlink ref="B39" r:id="rId141" xr:uid="{B4CAB75C-6A16-4749-88A4-E4DDF8336F53}"/>
    <hyperlink ref="B11" r:id="rId142" xr:uid="{19ACEF3A-6636-42A1-B775-393E5FD3DE08}"/>
    <hyperlink ref="B12" r:id="rId143" xr:uid="{55255D02-1E46-436E-8613-3538D1A4BEBF}"/>
    <hyperlink ref="B13" r:id="rId144" xr:uid="{343F22ED-FF65-43E5-BB3E-65BAA8B46B1F}"/>
    <hyperlink ref="B14" r:id="rId145" xr:uid="{F9C39D22-606F-4BD6-BC70-6664263323AE}"/>
    <hyperlink ref="B15" r:id="rId146" xr:uid="{D5E21F81-3DE3-4E14-9E04-92CE3D77435B}"/>
    <hyperlink ref="B16" r:id="rId147" xr:uid="{B204F566-4653-47CE-9693-914D00A03A98}"/>
    <hyperlink ref="B17" r:id="rId148" xr:uid="{378B882F-2BB4-48F9-8B45-650D01D3D27E}"/>
    <hyperlink ref="B18" r:id="rId149" xr:uid="{B67265C0-A301-4BCC-A0E7-2192415F8AEE}"/>
    <hyperlink ref="B19" r:id="rId150" xr:uid="{D165DD92-19CC-449A-8238-0738229C3E73}"/>
    <hyperlink ref="B20" r:id="rId151" xr:uid="{028969EE-7F58-4402-8D43-366BA4B733BE}"/>
    <hyperlink ref="B21" r:id="rId152" xr:uid="{07F0D5B8-A19E-4F84-B75A-82E9D569BD55}"/>
    <hyperlink ref="B22" r:id="rId153" xr:uid="{44032B98-D7DE-4695-AF5A-06CC8A22ED44}"/>
    <hyperlink ref="B23" r:id="rId154" xr:uid="{527D297C-7D2F-402D-980D-698419D9A00D}"/>
    <hyperlink ref="B24" r:id="rId155" xr:uid="{A4911B6F-246E-4198-B804-A825642E9A3C}"/>
    <hyperlink ref="B25" r:id="rId156" xr:uid="{14AA62AA-E09A-4CC9-99DD-0C549217D599}"/>
    <hyperlink ref="B26" r:id="rId157" xr:uid="{398F3645-CE35-45C1-8342-E04958F4FE18}"/>
    <hyperlink ref="B27" r:id="rId158" xr:uid="{137204FC-D879-4E30-AE91-E2D980BD849F}"/>
    <hyperlink ref="B28" r:id="rId159" xr:uid="{FFEF4945-287E-49A7-8529-EA12FD5F3644}"/>
    <hyperlink ref="B29" r:id="rId160" xr:uid="{B163B232-5FE0-42C9-A879-3828B257B8ED}"/>
    <hyperlink ref="B30" r:id="rId161" xr:uid="{85542583-0532-439E-828C-7207B3C4BCE0}"/>
    <hyperlink ref="B31" r:id="rId162" xr:uid="{624F6425-48A4-4825-9AAA-38D3D6B0677D}"/>
    <hyperlink ref="B32" r:id="rId163" xr:uid="{DB066A51-D6D5-4D36-921B-BC8B7BC9EAA7}"/>
    <hyperlink ref="B33" r:id="rId164" xr:uid="{17343339-C1FB-4B2D-9CAB-9438A8058A87}"/>
    <hyperlink ref="B34" r:id="rId165" xr:uid="{7C3F2909-846A-41F5-8E50-65B189AC4734}"/>
    <hyperlink ref="B35" r:id="rId166" xr:uid="{702AACE3-7D03-4399-BE0D-EAC1FC9956BB}"/>
    <hyperlink ref="B36" r:id="rId167" xr:uid="{65CA0ED7-BA49-4575-8579-1FA882EFDD72}"/>
    <hyperlink ref="B37" r:id="rId168" xr:uid="{DAC2EF9A-26CF-4677-9743-130F5397D73B}"/>
    <hyperlink ref="B9" r:id="rId169" xr:uid="{4A66D53A-84F3-4CC5-958C-119E89F2FCDC}"/>
    <hyperlink ref="B134" r:id="rId170" xr:uid="{DC2952B2-2B76-4E8E-B8A5-5DED6B07043B}"/>
    <hyperlink ref="B8" r:id="rId171" xr:uid="{67BD8863-4292-4310-AFAE-ECFEBF1872B2}"/>
    <hyperlink ref="B7" r:id="rId172" xr:uid="{48795259-BDB8-4CBF-B146-2D208A88E9C3}"/>
    <hyperlink ref="B6" r:id="rId173" xr:uid="{1CA30174-D7BB-40CE-A5BE-4D2B5B77D2A6}"/>
    <hyperlink ref="B10" r:id="rId174" xr:uid="{CCFFFA8A-BDBF-4156-9250-5048EE4A8C2F}"/>
    <hyperlink ref="B5" r:id="rId175" xr:uid="{B2A472A7-462E-4BA5-9318-355E554F0C1D}"/>
    <hyperlink ref="B4" r:id="rId176" xr:uid="{2085E39B-8D77-4E65-AF71-2C5A04813A68}"/>
  </hyperlinks>
  <pageMargins left="0.511811024" right="0.511811024" top="0.78740157499999996" bottom="0.78740157499999996" header="0.31496062000000002" footer="0.31496062000000002"/>
  <pageSetup paperSize="9" orientation="portrait" r:id="rId177"/>
  <cellWatches>
    <cellWatch r="A70"/>
  </cellWatches>
  <drawing r:id="rId178"/>
  <legacyDrawing r:id="rId17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180" name="Button 5">
              <controlPr defaultSize="0" print="0" autoFill="0" autoPict="0" macro="[0]!Planilha1.LocalizarExpirado">
                <anchor>
                  <from>
                    <xdr:col>5</xdr:col>
                    <xdr:colOff>266700</xdr:colOff>
                    <xdr:row>1</xdr:row>
                    <xdr:rowOff>19050</xdr:rowOff>
                  </from>
                  <to>
                    <xdr:col>7</xdr:col>
                    <xdr:colOff>447675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81" name="Button 6">
              <controlPr defaultSize="0" print="0" autoFill="0" autoPict="0" macro="[0]!inserir_ultimo_anuncio">
                <anchor moveWithCells="1" sizeWithCells="1">
                  <from>
                    <xdr:col>1</xdr:col>
                    <xdr:colOff>9525</xdr:colOff>
                    <xdr:row>0</xdr:row>
                    <xdr:rowOff>47625</xdr:rowOff>
                  </from>
                  <to>
                    <xdr:col>3</xdr:col>
                    <xdr:colOff>714375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75" id="{00000000-000E-0000-0100-0000E6000000}">
            <xm:f>'Precificação de produto'!$B58="Pausado"</xm:f>
            <x14:dxf>
              <font>
                <color theme="1" tint="0.499984740745262"/>
              </font>
            </x14:dxf>
          </x14:cfRule>
          <xm:sqref>C62:C65 C58:C60</xm:sqref>
        </x14:conditionalFormatting>
        <x14:conditionalFormatting xmlns:xm="http://schemas.microsoft.com/office/excel/2006/main">
          <x14:cfRule type="expression" priority="522" id="{00000000-000E-0000-0100-00004D000000}">
            <xm:f>'Precificação de produto'!$B$61="Pausado"</xm:f>
            <x14:dxf>
              <font>
                <color theme="1" tint="0.499984740745262"/>
              </font>
            </x14:dxf>
          </x14:cfRule>
          <xm:sqref>C61</xm:sqref>
        </x14:conditionalFormatting>
        <x14:conditionalFormatting xmlns:xm="http://schemas.microsoft.com/office/excel/2006/main">
          <x14:cfRule type="expression" priority="521" id="{00000000-000E-0000-0100-00004C000000}">
            <xm:f>'Precificação de produto'!$B$61="Pausado"</xm:f>
            <x14:dxf>
              <font>
                <color theme="1" tint="0.499984740745262"/>
              </font>
            </x14:dxf>
          </x14:cfRule>
          <xm:sqref>D61</xm:sqref>
        </x14:conditionalFormatting>
        <x14:conditionalFormatting xmlns:xm="http://schemas.microsoft.com/office/excel/2006/main">
          <x14:cfRule type="expression" priority="447" id="{00000000-000E-0000-0100-000002000000}">
            <xm:f>'Precificação de produto'!$B$57="Pausado"</xm:f>
            <x14:dxf>
              <font>
                <color theme="1" tint="0.499984740745262"/>
              </font>
            </x14:dxf>
          </x14:cfRule>
          <xm:sqref>C57 C11</xm:sqref>
        </x14:conditionalFormatting>
        <x14:conditionalFormatting xmlns:xm="http://schemas.microsoft.com/office/excel/2006/main">
          <x14:cfRule type="expression" priority="444" id="{F0AE00BA-7872-4A7C-BD6A-7392B2A455D2}">
            <xm:f>'Precificação de produto'!$B38="Pausado"</xm:f>
            <x14:dxf>
              <font>
                <color theme="0" tint="-0.34998626667073579"/>
              </font>
            </x14:dxf>
          </x14:cfRule>
          <xm:sqref>B38:D81 B83:D411 B82:C82</xm:sqref>
        </x14:conditionalFormatting>
        <x14:conditionalFormatting xmlns:xm="http://schemas.microsoft.com/office/excel/2006/main">
          <x14:cfRule type="expression" priority="414" id="{4CC21068-0409-4AEC-A9C7-B8D82DC02B3F}">
            <xm:f>'Precificação de produto'!$B$57="Pausado"</xm:f>
            <x14:dxf>
              <font>
                <color theme="1" tint="0.499984740745262"/>
              </font>
            </x14:dxf>
          </x14:cfRule>
          <xm:sqref>C56</xm:sqref>
        </x14:conditionalFormatting>
        <x14:conditionalFormatting xmlns:xm="http://schemas.microsoft.com/office/excel/2006/main">
          <x14:cfRule type="expression" priority="398" id="{058E92A5-F642-43D1-A044-5C69BC8D74AB}">
            <xm:f>'Precificação de produto'!$B$57="Pausado"</xm:f>
            <x14:dxf>
              <font>
                <color theme="1" tint="0.499984740745262"/>
              </font>
            </x14:dxf>
          </x14:cfRule>
          <xm:sqref>C55</xm:sqref>
        </x14:conditionalFormatting>
        <x14:conditionalFormatting xmlns:xm="http://schemas.microsoft.com/office/excel/2006/main">
          <x14:cfRule type="expression" priority="382" id="{86D9831C-E67B-4F48-906E-FED6228208E4}">
            <xm:f>'Precificação de produto'!$B$57="Pausado"</xm:f>
            <x14:dxf>
              <font>
                <color theme="1" tint="0.499984740745262"/>
              </font>
            </x14:dxf>
          </x14:cfRule>
          <xm:sqref>C54</xm:sqref>
        </x14:conditionalFormatting>
        <x14:conditionalFormatting xmlns:xm="http://schemas.microsoft.com/office/excel/2006/main">
          <x14:cfRule type="expression" priority="365" id="{DED9D95D-187E-4B60-82F1-9394CEAB481B}">
            <xm:f>'Precificação de produto'!$B$57="Pausado"</xm:f>
            <x14:dxf>
              <font>
                <color theme="1" tint="0.499984740745262"/>
              </font>
            </x14:dxf>
          </x14:cfRule>
          <xm:sqref>C53</xm:sqref>
        </x14:conditionalFormatting>
        <x14:conditionalFormatting xmlns:xm="http://schemas.microsoft.com/office/excel/2006/main">
          <x14:cfRule type="expression" priority="349" id="{2747D3A5-2F9D-4EC2-9A14-A1C2C5EA5BDE}">
            <xm:f>'Precificação de produto'!$B$57="Pausado"</xm:f>
            <x14:dxf>
              <font>
                <color theme="1" tint="0.499984740745262"/>
              </font>
            </x14:dxf>
          </x14:cfRule>
          <xm:sqref>C52</xm:sqref>
        </x14:conditionalFormatting>
        <x14:conditionalFormatting xmlns:xm="http://schemas.microsoft.com/office/excel/2006/main">
          <x14:cfRule type="expression" priority="333" id="{C6031F15-DBE2-4D36-ABEB-31068B9E62DD}">
            <xm:f>'Precificação de produto'!$B$57="Pausado"</xm:f>
            <x14:dxf>
              <font>
                <color theme="1" tint="0.499984740745262"/>
              </font>
            </x14:dxf>
          </x14:cfRule>
          <xm:sqref>C51</xm:sqref>
        </x14:conditionalFormatting>
        <x14:conditionalFormatting xmlns:xm="http://schemas.microsoft.com/office/excel/2006/main">
          <x14:cfRule type="expression" priority="317" id="{68982E62-220F-489A-AC8E-728F121EA40A}">
            <xm:f>'Precificação de produto'!$B$57="Pausado"</xm:f>
            <x14:dxf>
              <font>
                <color theme="1" tint="0.499984740745262"/>
              </font>
            </x14:dxf>
          </x14:cfRule>
          <xm:sqref>C50</xm:sqref>
        </x14:conditionalFormatting>
        <x14:conditionalFormatting xmlns:xm="http://schemas.microsoft.com/office/excel/2006/main">
          <x14:cfRule type="expression" priority="301" id="{15EC4947-DC5E-4C5E-871A-B8EF8E098E48}">
            <xm:f>'Precificação de produto'!$B$57="Pausado"</xm:f>
            <x14:dxf>
              <font>
                <color theme="1" tint="0.499984740745262"/>
              </font>
            </x14:dxf>
          </x14:cfRule>
          <xm:sqref>C49</xm:sqref>
        </x14:conditionalFormatting>
        <x14:conditionalFormatting xmlns:xm="http://schemas.microsoft.com/office/excel/2006/main">
          <x14:cfRule type="expression" priority="285" id="{C522A60A-A546-401D-9D27-A761C5B82908}">
            <xm:f>'Precificação de produto'!$B$57="Pausado"</xm:f>
            <x14:dxf>
              <font>
                <color theme="1" tint="0.499984740745262"/>
              </font>
            </x14:dxf>
          </x14:cfRule>
          <xm:sqref>C48</xm:sqref>
        </x14:conditionalFormatting>
        <x14:conditionalFormatting xmlns:xm="http://schemas.microsoft.com/office/excel/2006/main">
          <x14:cfRule type="expression" priority="269" id="{6C01A3F5-D2B6-4C56-B0B3-DFF8DD264C5C}">
            <xm:f>'Precificação de produto'!$B$57="Pausado"</xm:f>
            <x14:dxf>
              <font>
                <color theme="1" tint="0.499984740745262"/>
              </font>
            </x14:dxf>
          </x14:cfRule>
          <xm:sqref>C45:C47</xm:sqref>
        </x14:conditionalFormatting>
        <x14:conditionalFormatting xmlns:xm="http://schemas.microsoft.com/office/excel/2006/main">
          <x14:cfRule type="expression" priority="251" id="{81A5A6EF-3857-4E27-B131-96B3D42565C3}">
            <xm:f>'Precificação de produto'!$B$57="Pausado"</xm:f>
            <x14:dxf>
              <font>
                <color theme="1" tint="0.499984740745262"/>
              </font>
            </x14:dxf>
          </x14:cfRule>
          <xm:sqref>C44</xm:sqref>
        </x14:conditionalFormatting>
        <x14:conditionalFormatting xmlns:xm="http://schemas.microsoft.com/office/excel/2006/main">
          <x14:cfRule type="expression" priority="235" id="{3B5C72A0-AD19-4E4B-AE94-07564B69A64F}">
            <xm:f>'Precificação de produto'!$B$57="Pausado"</xm:f>
            <x14:dxf>
              <font>
                <color theme="1" tint="0.499984740745262"/>
              </font>
            </x14:dxf>
          </x14:cfRule>
          <xm:sqref>C43</xm:sqref>
        </x14:conditionalFormatting>
        <x14:conditionalFormatting xmlns:xm="http://schemas.microsoft.com/office/excel/2006/main">
          <x14:cfRule type="expression" priority="219" id="{44025318-47A3-4553-83C1-B79FBA130AF9}">
            <xm:f>'Precificação de produto'!$B$57="Pausado"</xm:f>
            <x14:dxf>
              <font>
                <color theme="1" tint="0.499984740745262"/>
              </font>
            </x14:dxf>
          </x14:cfRule>
          <xm:sqref>C42</xm:sqref>
        </x14:conditionalFormatting>
        <x14:conditionalFormatting xmlns:xm="http://schemas.microsoft.com/office/excel/2006/main">
          <x14:cfRule type="expression" priority="203" id="{72F55C40-6BAD-4A08-BD4F-8F4241324442}">
            <xm:f>'Precificação de produto'!$B$57="Pausado"</xm:f>
            <x14:dxf>
              <font>
                <color theme="1" tint="0.499984740745262"/>
              </font>
            </x14:dxf>
          </x14:cfRule>
          <xm:sqref>C41</xm:sqref>
        </x14:conditionalFormatting>
        <x14:conditionalFormatting xmlns:xm="http://schemas.microsoft.com/office/excel/2006/main">
          <x14:cfRule type="expression" priority="187" id="{112E9D01-21C5-4703-9AB3-D978CBB02AFA}">
            <xm:f>'Precificação de produto'!$B$57="Pausado"</xm:f>
            <x14:dxf>
              <font>
                <color theme="1" tint="0.499984740745262"/>
              </font>
            </x14:dxf>
          </x14:cfRule>
          <xm:sqref>C40</xm:sqref>
        </x14:conditionalFormatting>
        <x14:conditionalFormatting xmlns:xm="http://schemas.microsoft.com/office/excel/2006/main">
          <x14:cfRule type="expression" priority="171" id="{23308B87-0C61-4517-BA78-60C5516A9147}">
            <xm:f>'Precificação de produto'!$B$57="Pausado"</xm:f>
            <x14:dxf>
              <font>
                <color theme="1" tint="0.499984740745262"/>
              </font>
            </x14:dxf>
          </x14:cfRule>
          <xm:sqref>C39</xm:sqref>
        </x14:conditionalFormatting>
        <x14:conditionalFormatting xmlns:xm="http://schemas.microsoft.com/office/excel/2006/main">
          <x14:cfRule type="expression" priority="155" id="{5D00D0CC-9A80-44FD-9406-FBD30A97F9DE}">
            <xm:f>'Precificação de produto'!$B$57="Pausado"</xm:f>
            <x14:dxf>
              <font>
                <color theme="1" tint="0.499984740745262"/>
              </font>
            </x14:dxf>
          </x14:cfRule>
          <xm:sqref>C38</xm:sqref>
        </x14:conditionalFormatting>
        <x14:conditionalFormatting xmlns:xm="http://schemas.microsoft.com/office/excel/2006/main">
          <x14:cfRule type="expression" priority="4309" id="{D7AA5F94-6ACF-48E5-9EE1-B9D5002A4FA4}">
            <xm:f>'Precificação de produto'!$B38="Pausado"</xm:f>
            <x14:dxf>
              <font>
                <color theme="0" tint="-0.34998626667073579"/>
              </font>
            </x14:dxf>
          </x14:cfRule>
          <xm:sqref>B12:B26</xm:sqref>
        </x14:conditionalFormatting>
        <x14:conditionalFormatting xmlns:xm="http://schemas.microsoft.com/office/excel/2006/main">
          <x14:cfRule type="expression" priority="137" id="{3DC3CBB4-8E9A-45B9-9C20-36A33212CD35}">
            <xm:f>'Precificação de produto'!$B37="Pausado"</xm:f>
            <x14:dxf>
              <font>
                <color theme="0" tint="-0.34998626667073579"/>
              </font>
            </x14:dxf>
          </x14:cfRule>
          <xm:sqref>B12:B37</xm:sqref>
        </x14:conditionalFormatting>
        <x14:conditionalFormatting xmlns:xm="http://schemas.microsoft.com/office/excel/2006/main">
          <x14:cfRule type="expression" priority="125" id="{E994007C-97A3-4D01-9E65-8060FCF94D4B}">
            <xm:f>'Precificação de produto'!$B$57="Pausado"</xm:f>
            <x14:dxf>
              <font>
                <color theme="1" tint="0.499984740745262"/>
              </font>
            </x14:dxf>
          </x14:cfRule>
          <xm:sqref>C10</xm:sqref>
        </x14:conditionalFormatting>
        <x14:conditionalFormatting xmlns:xm="http://schemas.microsoft.com/office/excel/2006/main">
          <x14:cfRule type="expression" priority="113" id="{F6934B45-BC6F-44DD-B2E4-AC5FC7423992}">
            <xm:f>'Precificação de produto'!$B$57="Pausado"</xm:f>
            <x14:dxf>
              <font>
                <color theme="1" tint="0.499984740745262"/>
              </font>
            </x14:dxf>
          </x14:cfRule>
          <xm:sqref>C9</xm:sqref>
        </x14:conditionalFormatting>
        <x14:conditionalFormatting xmlns:xm="http://schemas.microsoft.com/office/excel/2006/main">
          <x14:cfRule type="expression" priority="49" id="{32771B37-F9C0-4C99-A155-93B2C3587C34}">
            <xm:f>'Precificação de produto'!$B$57="Pausado"</xm:f>
            <x14:dxf>
              <font>
                <color theme="1" tint="0.499984740745262"/>
              </font>
            </x14:dxf>
          </x14:cfRule>
          <xm:sqref>C8</xm:sqref>
        </x14:conditionalFormatting>
        <x14:conditionalFormatting xmlns:xm="http://schemas.microsoft.com/office/excel/2006/main">
          <x14:cfRule type="expression" priority="37" id="{BA904328-D8A6-4314-AE62-59B8154DDEFD}">
            <xm:f>'Precificação de produto'!$B$57="Pausado"</xm:f>
            <x14:dxf>
              <font>
                <color theme="1" tint="0.499984740745262"/>
              </font>
            </x14:dxf>
          </x14:cfRule>
          <xm:sqref>C7</xm:sqref>
        </x14:conditionalFormatting>
        <x14:conditionalFormatting xmlns:xm="http://schemas.microsoft.com/office/excel/2006/main">
          <x14:cfRule type="expression" priority="25" id="{59A2298E-62B1-4A42-88A9-A91FA888BECB}">
            <xm:f>'Precificação de produto'!$B$57="Pausado"</xm:f>
            <x14:dxf>
              <font>
                <color theme="1" tint="0.499984740745262"/>
              </font>
            </x14:dxf>
          </x14:cfRule>
          <xm:sqref>C6</xm:sqref>
        </x14:conditionalFormatting>
        <x14:conditionalFormatting xmlns:xm="http://schemas.microsoft.com/office/excel/2006/main">
          <x14:cfRule type="expression" priority="13" id="{22124C8C-C970-42CC-81E7-8D239A17587B}">
            <xm:f>'Precificação de produto'!$B$57="Pausado"</xm:f>
            <x14:dxf>
              <font>
                <color theme="1" tint="0.499984740745262"/>
              </font>
            </x14:dxf>
          </x14:cfRule>
          <xm:sqref>C5</xm:sqref>
        </x14:conditionalFormatting>
        <x14:conditionalFormatting xmlns:xm="http://schemas.microsoft.com/office/excel/2006/main">
          <x14:cfRule type="expression" priority="1" id="{30C94A76-665E-47C4-9A13-FA61BC646851}">
            <xm:f>'Precificação de produto'!$B$57="Pausado"</xm:f>
            <x14:dxf>
              <font>
                <color theme="1" tint="0.499984740745262"/>
              </font>
            </x14:dxf>
          </x14:cfRule>
          <xm:sqref>C4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45426-7960-46E6-A2AF-40A16FA9C4F7}">
  <sheetPr codeName="Planilha2">
    <tabColor theme="4" tint="0.39997558519241921"/>
  </sheetPr>
  <dimension ref="A1:Q287"/>
  <sheetViews>
    <sheetView zoomScaleNormal="100" workbookViewId="0">
      <pane ySplit="3" topLeftCell="A4" activePane="bottomLeft" state="frozen"/>
      <selection pane="bottomLeft" activeCell="G9" sqref="G9"/>
    </sheetView>
  </sheetViews>
  <sheetFormatPr defaultColWidth="13.7109375" defaultRowHeight="23.25" customHeight="1" x14ac:dyDescent="0.25"/>
  <cols>
    <col min="1" max="1" width="7" style="5" customWidth="1"/>
    <col min="2" max="2" width="9.7109375" style="41" customWidth="1"/>
    <col min="3" max="3" width="14.28515625" style="2" customWidth="1"/>
    <col min="4" max="4" width="11.85546875" style="2" bestFit="1" customWidth="1"/>
    <col min="5" max="5" width="58.42578125" style="330" customWidth="1"/>
    <col min="6" max="6" width="12" style="4" customWidth="1"/>
    <col min="7" max="7" width="11.28515625" customWidth="1"/>
    <col min="8" max="8" width="8" style="49" customWidth="1"/>
    <col min="9" max="9" width="9.7109375" style="195" customWidth="1"/>
    <col min="10" max="10" width="7.42578125" style="46" customWidth="1"/>
    <col min="11" max="11" width="17.5703125" style="178" customWidth="1"/>
    <col min="12" max="12" width="15.85546875" style="186" customWidth="1"/>
    <col min="13" max="13" width="22.5703125" style="408" customWidth="1"/>
    <col min="14" max="14" width="13.7109375" style="2" customWidth="1"/>
    <col min="15" max="137" width="13.7109375" style="1" customWidth="1"/>
    <col min="138" max="16384" width="13.7109375" style="1"/>
  </cols>
  <sheetData>
    <row r="1" spans="1:17" s="261" customFormat="1" ht="6" customHeight="1" x14ac:dyDescent="0.25">
      <c r="A1" s="256"/>
      <c r="B1" s="257"/>
      <c r="C1" s="258"/>
      <c r="D1" s="258"/>
      <c r="E1" s="259"/>
      <c r="F1" s="260"/>
      <c r="H1" s="256"/>
      <c r="I1" s="262"/>
      <c r="J1" s="263"/>
      <c r="K1" s="264"/>
      <c r="L1" s="265"/>
      <c r="M1" s="266"/>
      <c r="N1" s="258"/>
    </row>
    <row r="2" spans="1:17" s="271" customFormat="1" ht="29.25" customHeight="1" x14ac:dyDescent="0.25">
      <c r="A2" s="267"/>
      <c r="B2" s="268"/>
      <c r="C2" s="573"/>
      <c r="D2" s="574"/>
      <c r="E2" s="572" t="s">
        <v>218</v>
      </c>
      <c r="F2" s="572"/>
      <c r="G2" s="572"/>
      <c r="H2" s="575">
        <v>5082694220</v>
      </c>
      <c r="I2" s="575"/>
      <c r="J2" s="575"/>
      <c r="K2" s="269"/>
      <c r="L2" s="274" t="s">
        <v>49</v>
      </c>
      <c r="M2" s="530"/>
      <c r="N2" s="269"/>
      <c r="O2" s="269"/>
      <c r="P2" s="270"/>
    </row>
    <row r="3" spans="1:17" s="376" customFormat="1" ht="23.25" customHeight="1" thickBot="1" x14ac:dyDescent="0.3">
      <c r="A3" s="460" t="s">
        <v>27</v>
      </c>
      <c r="B3" s="25" t="s">
        <v>54</v>
      </c>
      <c r="C3" s="36" t="s">
        <v>0</v>
      </c>
      <c r="D3" s="36" t="s">
        <v>219</v>
      </c>
      <c r="E3" s="350" t="s">
        <v>1</v>
      </c>
      <c r="F3" s="25" t="s">
        <v>216</v>
      </c>
      <c r="G3" s="36" t="s">
        <v>214</v>
      </c>
      <c r="H3" s="36" t="s">
        <v>215</v>
      </c>
      <c r="I3" s="36" t="s">
        <v>217</v>
      </c>
      <c r="J3" s="43" t="s">
        <v>2</v>
      </c>
      <c r="K3" s="36" t="s">
        <v>212</v>
      </c>
      <c r="L3" s="351" t="s">
        <v>213</v>
      </c>
      <c r="M3" s="350" t="s">
        <v>1294</v>
      </c>
    </row>
    <row r="4" spans="1:17" s="529" customFormat="1" ht="27.75" customHeight="1" x14ac:dyDescent="0.25">
      <c r="A4" s="560" t="s">
        <v>7</v>
      </c>
      <c r="B4" s="37" t="s">
        <v>158</v>
      </c>
      <c r="C4" s="510" t="s">
        <v>2047</v>
      </c>
      <c r="D4" s="73" t="s">
        <v>2049</v>
      </c>
      <c r="E4" s="326" t="s">
        <v>2048</v>
      </c>
      <c r="F4" s="515">
        <v>1126.53</v>
      </c>
      <c r="G4" s="514">
        <v>78.650000000000006</v>
      </c>
      <c r="H4" s="516">
        <v>0.17</v>
      </c>
      <c r="I4" s="524" t="str">
        <f t="shared" ref="I4:I11" si="0">IF(G4&lt;&gt;"", "R$ 0,00",
IF(K4&lt;=12.5, INT((K4/2)/0.02)*0.02,
IF(K4&lt;29, 6.25,
IF(K4&lt;50, 6.5,
IF(K4&lt;=79, 6.75,
0)))))</f>
        <v>R$ 0,00</v>
      </c>
      <c r="J4" s="513">
        <v>0.28999999999999998</v>
      </c>
      <c r="K4" s="525">
        <f t="shared" ref="K4" si="1">IF(J4="",F4,F4*(1-J4))</f>
        <v>799.83629999999994</v>
      </c>
      <c r="L4" s="526">
        <f t="shared" ref="L4" si="2">K4*(1-H4)-G4-I4</f>
        <v>585.21412899999996</v>
      </c>
      <c r="M4" s="524" t="str">
        <f>SUMIFS(Vendas[Qtd], Vendas[Cód. do Produto], Precificação[[#This Row],[Cód. do Produto]], Vendas[Status], "Entregue") &amp; " unidade(s) vendida(s)"</f>
        <v>0 unidade(s) vendida(s)</v>
      </c>
      <c r="N4" s="527"/>
      <c r="O4" s="528"/>
      <c r="P4" s="528"/>
      <c r="Q4" s="528"/>
    </row>
    <row r="5" spans="1:17" s="529" customFormat="1" ht="27.75" customHeight="1" x14ac:dyDescent="0.25">
      <c r="A5" s="522" t="s">
        <v>7</v>
      </c>
      <c r="B5" s="37" t="s">
        <v>158</v>
      </c>
      <c r="C5" s="510" t="s">
        <v>2044</v>
      </c>
      <c r="D5" s="73" t="s">
        <v>2045</v>
      </c>
      <c r="E5" s="326" t="s">
        <v>2046</v>
      </c>
      <c r="F5" s="515">
        <v>4156</v>
      </c>
      <c r="G5" s="514">
        <v>107.05</v>
      </c>
      <c r="H5" s="516">
        <v>0.17</v>
      </c>
      <c r="I5" s="524" t="str">
        <f t="shared" si="0"/>
        <v>R$ 0,00</v>
      </c>
      <c r="J5" s="513">
        <v>0.31</v>
      </c>
      <c r="K5" s="525">
        <f t="shared" ref="K5" si="3">IF(J5="",F5,F5*(1-J5))</f>
        <v>2867.64</v>
      </c>
      <c r="L5" s="526">
        <f t="shared" ref="L5" si="4">K5*(1-H5)-G5-I5</f>
        <v>2273.0911999999994</v>
      </c>
      <c r="M5" s="524" t="str">
        <f>SUMIFS(Vendas[Qtd], Vendas[Cód. do Produto], Precificação[[#This Row],[Cód. do Produto]], Vendas[Status], "Entregue") &amp; " unidade(s) vendida(s)"</f>
        <v>0 unidade(s) vendida(s)</v>
      </c>
      <c r="N5" s="527"/>
      <c r="O5" s="528"/>
      <c r="P5" s="528"/>
      <c r="Q5" s="528"/>
    </row>
    <row r="6" spans="1:17" s="529" customFormat="1" ht="27.75" customHeight="1" x14ac:dyDescent="0.25">
      <c r="A6" s="522" t="s">
        <v>7</v>
      </c>
      <c r="B6" s="37" t="s">
        <v>158</v>
      </c>
      <c r="C6" s="510" t="s">
        <v>1999</v>
      </c>
      <c r="D6" s="73" t="s">
        <v>2000</v>
      </c>
      <c r="E6" s="326" t="s">
        <v>2001</v>
      </c>
      <c r="F6" s="515">
        <v>56.5</v>
      </c>
      <c r="G6" s="514"/>
      <c r="H6" s="516">
        <v>0.17</v>
      </c>
      <c r="I6" s="524">
        <f t="shared" si="0"/>
        <v>6.75</v>
      </c>
      <c r="J6" s="513"/>
      <c r="K6" s="525">
        <f t="shared" ref="K6:K11" si="5">IF(J6="",F6,F6*(1-J6))</f>
        <v>56.5</v>
      </c>
      <c r="L6" s="526">
        <f t="shared" ref="L6:L11" si="6">K6*(1-H6)-G6-I6</f>
        <v>40.144999999999996</v>
      </c>
      <c r="M6" s="524" t="str">
        <f>SUMIFS(Vendas[Qtd], Vendas[Cód. do Produto], Precificação[[#This Row],[Cód. do Produto]], Vendas[Status], "Entregue") &amp; " unidade(s) vendida(s)"</f>
        <v>0 unidade(s) vendida(s)</v>
      </c>
      <c r="N6" s="527"/>
      <c r="O6" s="528"/>
      <c r="P6" s="528"/>
      <c r="Q6" s="528"/>
    </row>
    <row r="7" spans="1:17" s="529" customFormat="1" ht="27.75" customHeight="1" x14ac:dyDescent="0.25">
      <c r="A7" s="522" t="s">
        <v>7</v>
      </c>
      <c r="B7" s="37" t="s">
        <v>158</v>
      </c>
      <c r="C7" s="510" t="s">
        <v>1996</v>
      </c>
      <c r="D7" s="73" t="s">
        <v>1997</v>
      </c>
      <c r="E7" s="326" t="s">
        <v>1998</v>
      </c>
      <c r="F7" s="515">
        <v>102.05</v>
      </c>
      <c r="G7" s="514">
        <v>15.71</v>
      </c>
      <c r="H7" s="516">
        <v>0.17</v>
      </c>
      <c r="I7" s="524" t="str">
        <f t="shared" si="0"/>
        <v>R$ 0,00</v>
      </c>
      <c r="J7" s="513"/>
      <c r="K7" s="525">
        <f t="shared" si="5"/>
        <v>102.05</v>
      </c>
      <c r="L7" s="526">
        <f t="shared" si="6"/>
        <v>68.991500000000002</v>
      </c>
      <c r="M7" s="524" t="str">
        <f>SUMIFS(Vendas[Qtd], Vendas[Cód. do Produto], Precificação[[#This Row],[Cód. do Produto]], Vendas[Status], "Entregue") &amp; " unidade(s) vendida(s)"</f>
        <v>0 unidade(s) vendida(s)</v>
      </c>
      <c r="N7" s="527"/>
      <c r="O7" s="528"/>
      <c r="P7" s="528"/>
      <c r="Q7" s="528"/>
    </row>
    <row r="8" spans="1:17" s="529" customFormat="1" ht="27.75" customHeight="1" x14ac:dyDescent="0.25">
      <c r="A8" s="522" t="s">
        <v>7</v>
      </c>
      <c r="B8" s="37" t="s">
        <v>158</v>
      </c>
      <c r="C8" s="510" t="s">
        <v>1993</v>
      </c>
      <c r="D8" s="73" t="s">
        <v>1994</v>
      </c>
      <c r="E8" s="326" t="s">
        <v>1995</v>
      </c>
      <c r="F8" s="515">
        <v>89.12</v>
      </c>
      <c r="G8" s="514">
        <v>11.97</v>
      </c>
      <c r="H8" s="516">
        <v>0.17</v>
      </c>
      <c r="I8" s="524" t="str">
        <f t="shared" si="0"/>
        <v>R$ 0,00</v>
      </c>
      <c r="J8" s="513"/>
      <c r="K8" s="525">
        <f t="shared" si="5"/>
        <v>89.12</v>
      </c>
      <c r="L8" s="526">
        <f t="shared" si="6"/>
        <v>61.999600000000001</v>
      </c>
      <c r="M8" s="524" t="str">
        <f>SUMIFS(Vendas[Qtd], Vendas[Cód. do Produto], Precificação[[#This Row],[Cód. do Produto]], Vendas[Status], "Entregue") &amp; " unidade(s) vendida(s)"</f>
        <v>0 unidade(s) vendida(s)</v>
      </c>
      <c r="N8" s="527"/>
      <c r="O8" s="528"/>
      <c r="P8" s="528"/>
      <c r="Q8" s="528"/>
    </row>
    <row r="9" spans="1:17" s="529" customFormat="1" ht="27.75" customHeight="1" x14ac:dyDescent="0.25">
      <c r="A9" s="522" t="s">
        <v>7</v>
      </c>
      <c r="B9" s="37" t="s">
        <v>158</v>
      </c>
      <c r="C9" s="510" t="s">
        <v>1866</v>
      </c>
      <c r="D9" s="73" t="s">
        <v>1867</v>
      </c>
      <c r="E9" s="326" t="s">
        <v>1868</v>
      </c>
      <c r="F9" s="515">
        <v>2456.52</v>
      </c>
      <c r="G9" s="514">
        <v>23.45</v>
      </c>
      <c r="H9" s="516">
        <v>0.17</v>
      </c>
      <c r="I9" s="524" t="str">
        <f t="shared" si="0"/>
        <v>R$ 0,00</v>
      </c>
      <c r="J9" s="513">
        <v>0.17</v>
      </c>
      <c r="K9" s="525">
        <f t="shared" si="5"/>
        <v>2038.9115999999999</v>
      </c>
      <c r="L9" s="526">
        <f t="shared" si="6"/>
        <v>1668.8466279999998</v>
      </c>
      <c r="M9" s="524" t="str">
        <f>SUMIFS(Vendas[Qtd], Vendas[Cód. do Produto], Precificação[[#This Row],[Cód. do Produto]], Vendas[Status], "Entregue") &amp; " unidade(s) vendida(s)"</f>
        <v>0 unidade(s) vendida(s)</v>
      </c>
      <c r="N9" s="527"/>
      <c r="O9" s="528"/>
      <c r="P9" s="528"/>
      <c r="Q9" s="528"/>
    </row>
    <row r="10" spans="1:17" s="529" customFormat="1" ht="27.75" customHeight="1" x14ac:dyDescent="0.25">
      <c r="A10" s="522" t="s">
        <v>7</v>
      </c>
      <c r="B10" s="37" t="s">
        <v>158</v>
      </c>
      <c r="C10" s="510" t="s">
        <v>1863</v>
      </c>
      <c r="D10" s="73" t="s">
        <v>1864</v>
      </c>
      <c r="E10" s="326" t="s">
        <v>1865</v>
      </c>
      <c r="F10" s="515">
        <v>245.5</v>
      </c>
      <c r="G10" s="514">
        <v>24.95</v>
      </c>
      <c r="H10" s="516">
        <v>0.12</v>
      </c>
      <c r="I10" s="524" t="str">
        <f t="shared" si="0"/>
        <v>R$ 0,00</v>
      </c>
      <c r="J10" s="513">
        <v>0.5</v>
      </c>
      <c r="K10" s="525">
        <f t="shared" si="5"/>
        <v>122.75</v>
      </c>
      <c r="L10" s="526">
        <f t="shared" si="6"/>
        <v>83.07</v>
      </c>
      <c r="M10" s="524" t="str">
        <f>SUMIFS(Vendas[Qtd], Vendas[Cód. do Produto], Precificação[[#This Row],[Cód. do Produto]], Vendas[Status], "Entregue") &amp; " unidade(s) vendida(s)"</f>
        <v>1 unidade(s) vendida(s)</v>
      </c>
      <c r="N10" s="527"/>
      <c r="O10" s="528"/>
      <c r="P10" s="528"/>
      <c r="Q10" s="528"/>
    </row>
    <row r="11" spans="1:17" s="529" customFormat="1" ht="27.75" customHeight="1" x14ac:dyDescent="0.25">
      <c r="A11" s="522" t="s">
        <v>7</v>
      </c>
      <c r="B11" s="37" t="s">
        <v>158</v>
      </c>
      <c r="C11" s="510" t="s">
        <v>1676</v>
      </c>
      <c r="D11" s="73" t="s">
        <v>1675</v>
      </c>
      <c r="E11" s="326" t="s">
        <v>1674</v>
      </c>
      <c r="F11" s="515">
        <v>75.489999999999995</v>
      </c>
      <c r="G11" s="514"/>
      <c r="H11" s="516">
        <v>0.12</v>
      </c>
      <c r="I11" s="524">
        <f t="shared" si="0"/>
        <v>6.5</v>
      </c>
      <c r="J11" s="513">
        <v>0.55000000000000004</v>
      </c>
      <c r="K11" s="525">
        <f t="shared" si="5"/>
        <v>33.970499999999994</v>
      </c>
      <c r="L11" s="526">
        <f t="shared" si="6"/>
        <v>23.394039999999993</v>
      </c>
      <c r="M11" s="524" t="str">
        <f>SUMIFS(Vendas[Qtd], Vendas[Cód. do Produto], Precificação[[#This Row],[Cód. do Produto]], Vendas[Status], "Entregue") &amp; " unidade(s) vendida(s)"</f>
        <v>0 unidade(s) vendida(s)</v>
      </c>
      <c r="N11" s="527"/>
      <c r="O11" s="528"/>
      <c r="P11" s="528"/>
      <c r="Q11" s="528"/>
    </row>
    <row r="12" spans="1:17" s="529" customFormat="1" ht="27.75" customHeight="1" x14ac:dyDescent="0.25">
      <c r="A12" s="522" t="s">
        <v>7</v>
      </c>
      <c r="B12" s="37" t="s">
        <v>158</v>
      </c>
      <c r="C12" s="510" t="s">
        <v>1678</v>
      </c>
      <c r="D12" s="532" t="s">
        <v>1732</v>
      </c>
      <c r="E12" s="326" t="s">
        <v>1677</v>
      </c>
      <c r="F12" s="515">
        <v>75.489999999999995</v>
      </c>
      <c r="G12" s="514"/>
      <c r="H12" s="516">
        <v>0.12</v>
      </c>
      <c r="I12" s="524">
        <f t="shared" ref="I12:I75" si="7">IF(G12&lt;&gt;"", "R$ 0,00",
IF(K12&lt;=12.5, INT((K12/2)/0.02)*0.02,
IF(K12&lt;29, 6.25,
IF(K12&lt;50, 6.5,
IF(K12&lt;=79, 6.75,
0)))))</f>
        <v>6.5</v>
      </c>
      <c r="J12" s="513">
        <v>0.55000000000000004</v>
      </c>
      <c r="K12" s="525">
        <f t="shared" ref="K12:K36" si="8">IF(J12="",F12,F12*(1-J12))</f>
        <v>33.970499999999994</v>
      </c>
      <c r="L12" s="526">
        <f t="shared" ref="L12:L36" si="9">K12*(1-H12)-G12-I12</f>
        <v>23.394039999999993</v>
      </c>
      <c r="M12" s="531" t="str">
        <f>SUMIFS(Vendas[Qtd], Vendas[Cód. do Produto], Precificação[[#This Row],[Cód. do Produto]], Vendas[Status], "Entregue") &amp; " unidade(s) vendida(s)"</f>
        <v>0 unidade(s) vendida(s)</v>
      </c>
      <c r="N12" s="527"/>
      <c r="O12" s="528"/>
      <c r="P12" s="528"/>
      <c r="Q12" s="528"/>
    </row>
    <row r="13" spans="1:17" s="529" customFormat="1" ht="27.75" customHeight="1" x14ac:dyDescent="0.25">
      <c r="A13" s="522" t="s">
        <v>7</v>
      </c>
      <c r="B13" s="37" t="s">
        <v>158</v>
      </c>
      <c r="C13" s="510" t="s">
        <v>1756</v>
      </c>
      <c r="D13" s="532" t="s">
        <v>1730</v>
      </c>
      <c r="E13" s="326" t="s">
        <v>1679</v>
      </c>
      <c r="F13" s="515">
        <v>75.489999999999995</v>
      </c>
      <c r="G13" s="514"/>
      <c r="H13" s="516">
        <v>0.12</v>
      </c>
      <c r="I13" s="524">
        <f t="shared" si="7"/>
        <v>6.5</v>
      </c>
      <c r="J13" s="513">
        <v>0.55000000000000004</v>
      </c>
      <c r="K13" s="525">
        <f t="shared" si="8"/>
        <v>33.970499999999994</v>
      </c>
      <c r="L13" s="526">
        <f t="shared" si="9"/>
        <v>23.394039999999993</v>
      </c>
      <c r="M13" s="531" t="str">
        <f>SUMIFS(Vendas[Qtd], Vendas[Cód. do Produto], Precificação[[#This Row],[Cód. do Produto]], Vendas[Status], "Entregue") &amp; " unidade(s) vendida(s)"</f>
        <v>0 unidade(s) vendida(s)</v>
      </c>
      <c r="N13" s="527"/>
      <c r="O13" s="528"/>
      <c r="P13" s="528"/>
      <c r="Q13" s="528"/>
    </row>
    <row r="14" spans="1:17" s="529" customFormat="1" ht="27.75" customHeight="1" x14ac:dyDescent="0.25">
      <c r="A14" s="522" t="s">
        <v>7</v>
      </c>
      <c r="B14" s="37" t="s">
        <v>158</v>
      </c>
      <c r="C14" s="510" t="s">
        <v>1680</v>
      </c>
      <c r="D14" s="532" t="s">
        <v>1733</v>
      </c>
      <c r="E14" s="326" t="s">
        <v>1681</v>
      </c>
      <c r="F14" s="515">
        <v>75.489999999999995</v>
      </c>
      <c r="G14" s="514"/>
      <c r="H14" s="516">
        <v>0.12</v>
      </c>
      <c r="I14" s="524">
        <f t="shared" si="7"/>
        <v>6.5</v>
      </c>
      <c r="J14" s="513">
        <v>0.55000000000000004</v>
      </c>
      <c r="K14" s="525">
        <f t="shared" si="8"/>
        <v>33.970499999999994</v>
      </c>
      <c r="L14" s="526">
        <f t="shared" si="9"/>
        <v>23.394039999999993</v>
      </c>
      <c r="M14" s="531" t="str">
        <f>SUMIFS(Vendas[Qtd], Vendas[Cód. do Produto], Precificação[[#This Row],[Cód. do Produto]], Vendas[Status], "Entregue") &amp; " unidade(s) vendida(s)"</f>
        <v>0 unidade(s) vendida(s)</v>
      </c>
      <c r="N14" s="527"/>
      <c r="O14" s="528"/>
      <c r="P14" s="528"/>
      <c r="Q14" s="528"/>
    </row>
    <row r="15" spans="1:17" s="529" customFormat="1" ht="27.75" customHeight="1" x14ac:dyDescent="0.25">
      <c r="A15" s="522" t="s">
        <v>7</v>
      </c>
      <c r="B15" s="37" t="s">
        <v>158</v>
      </c>
      <c r="C15" s="510" t="s">
        <v>1683</v>
      </c>
      <c r="D15" s="532" t="s">
        <v>1734</v>
      </c>
      <c r="E15" s="326" t="s">
        <v>1682</v>
      </c>
      <c r="F15" s="515">
        <v>75.489999999999995</v>
      </c>
      <c r="G15" s="514"/>
      <c r="H15" s="516">
        <v>0.12</v>
      </c>
      <c r="I15" s="524">
        <f t="shared" si="7"/>
        <v>6.5</v>
      </c>
      <c r="J15" s="513">
        <v>0.55000000000000004</v>
      </c>
      <c r="K15" s="525">
        <f t="shared" si="8"/>
        <v>33.970499999999994</v>
      </c>
      <c r="L15" s="526">
        <f t="shared" si="9"/>
        <v>23.394039999999993</v>
      </c>
      <c r="M15" s="531" t="str">
        <f>SUMIFS(Vendas[Qtd], Vendas[Cód. do Produto], Precificação[[#This Row],[Cód. do Produto]], Vendas[Status], "Entregue") &amp; " unidade(s) vendida(s)"</f>
        <v>0 unidade(s) vendida(s)</v>
      </c>
      <c r="N15" s="527"/>
      <c r="O15" s="528"/>
      <c r="P15" s="528"/>
      <c r="Q15" s="528"/>
    </row>
    <row r="16" spans="1:17" s="529" customFormat="1" ht="27.75" customHeight="1" x14ac:dyDescent="0.25">
      <c r="A16" s="522" t="s">
        <v>7</v>
      </c>
      <c r="B16" s="37" t="s">
        <v>158</v>
      </c>
      <c r="C16" s="510" t="s">
        <v>1685</v>
      </c>
      <c r="D16" s="532" t="s">
        <v>1735</v>
      </c>
      <c r="E16" s="326" t="s">
        <v>1684</v>
      </c>
      <c r="F16" s="515">
        <v>75.489999999999995</v>
      </c>
      <c r="G16" s="514"/>
      <c r="H16" s="516">
        <v>0.12</v>
      </c>
      <c r="I16" s="524">
        <f t="shared" si="7"/>
        <v>6.5</v>
      </c>
      <c r="J16" s="513">
        <v>0.55000000000000004</v>
      </c>
      <c r="K16" s="525">
        <f t="shared" si="8"/>
        <v>33.970499999999994</v>
      </c>
      <c r="L16" s="526">
        <f t="shared" si="9"/>
        <v>23.394039999999993</v>
      </c>
      <c r="M16" s="531" t="str">
        <f>SUMIFS(Vendas[Qtd], Vendas[Cód. do Produto], Precificação[[#This Row],[Cód. do Produto]], Vendas[Status], "Entregue") &amp; " unidade(s) vendida(s)"</f>
        <v>0 unidade(s) vendida(s)</v>
      </c>
      <c r="N16" s="527"/>
      <c r="O16" s="528"/>
      <c r="P16" s="528"/>
      <c r="Q16" s="528"/>
    </row>
    <row r="17" spans="1:17" s="529" customFormat="1" ht="27.75" customHeight="1" x14ac:dyDescent="0.25">
      <c r="A17" s="522" t="s">
        <v>7</v>
      </c>
      <c r="B17" s="37" t="s">
        <v>158</v>
      </c>
      <c r="C17" s="510" t="s">
        <v>1687</v>
      </c>
      <c r="D17" s="532" t="s">
        <v>251</v>
      </c>
      <c r="E17" s="326" t="s">
        <v>1686</v>
      </c>
      <c r="F17" s="515">
        <v>75.489999999999995</v>
      </c>
      <c r="G17" s="514"/>
      <c r="H17" s="516">
        <v>0.12</v>
      </c>
      <c r="I17" s="524">
        <f t="shared" si="7"/>
        <v>6.5</v>
      </c>
      <c r="J17" s="513">
        <v>0.55000000000000004</v>
      </c>
      <c r="K17" s="525">
        <f t="shared" si="8"/>
        <v>33.970499999999994</v>
      </c>
      <c r="L17" s="526">
        <f t="shared" si="9"/>
        <v>23.394039999999993</v>
      </c>
      <c r="M17" s="531" t="str">
        <f>SUMIFS(Vendas[Qtd], Vendas[Cód. do Produto], Precificação[[#This Row],[Cód. do Produto]], Vendas[Status], "Entregue") &amp; " unidade(s) vendida(s)"</f>
        <v>0 unidade(s) vendida(s)</v>
      </c>
      <c r="N17" s="527"/>
      <c r="O17" s="528"/>
      <c r="P17" s="528"/>
      <c r="Q17" s="528"/>
    </row>
    <row r="18" spans="1:17" s="529" customFormat="1" ht="27.75" customHeight="1" x14ac:dyDescent="0.25">
      <c r="A18" s="522" t="s">
        <v>7</v>
      </c>
      <c r="B18" s="37" t="s">
        <v>158</v>
      </c>
      <c r="C18" s="510" t="s">
        <v>1689</v>
      </c>
      <c r="D18" s="532" t="s">
        <v>251</v>
      </c>
      <c r="E18" s="326" t="s">
        <v>1688</v>
      </c>
      <c r="F18" s="515">
        <v>75.489999999999995</v>
      </c>
      <c r="G18" s="514"/>
      <c r="H18" s="516">
        <v>0.12</v>
      </c>
      <c r="I18" s="524">
        <f t="shared" si="7"/>
        <v>6.5</v>
      </c>
      <c r="J18" s="513">
        <v>0.55000000000000004</v>
      </c>
      <c r="K18" s="525">
        <f t="shared" si="8"/>
        <v>33.970499999999994</v>
      </c>
      <c r="L18" s="526">
        <f t="shared" si="9"/>
        <v>23.394039999999993</v>
      </c>
      <c r="M18" s="531" t="str">
        <f>SUMIFS(Vendas[Qtd], Vendas[Cód. do Produto], Precificação[[#This Row],[Cód. do Produto]], Vendas[Status], "Entregue") &amp; " unidade(s) vendida(s)"</f>
        <v>0 unidade(s) vendida(s)</v>
      </c>
      <c r="N18" s="527"/>
      <c r="O18" s="528"/>
      <c r="P18" s="528"/>
      <c r="Q18" s="528"/>
    </row>
    <row r="19" spans="1:17" s="529" customFormat="1" ht="27.75" customHeight="1" x14ac:dyDescent="0.25">
      <c r="A19" s="522" t="s">
        <v>7</v>
      </c>
      <c r="B19" s="37" t="s">
        <v>158</v>
      </c>
      <c r="C19" s="510" t="s">
        <v>1709</v>
      </c>
      <c r="D19" s="532" t="s">
        <v>1736</v>
      </c>
      <c r="E19" s="326" t="s">
        <v>1690</v>
      </c>
      <c r="F19" s="515">
        <v>75.489999999999995</v>
      </c>
      <c r="G19" s="514"/>
      <c r="H19" s="516">
        <v>0.12</v>
      </c>
      <c r="I19" s="524">
        <f t="shared" si="7"/>
        <v>6.5</v>
      </c>
      <c r="J19" s="513">
        <v>0.55000000000000004</v>
      </c>
      <c r="K19" s="525">
        <f t="shared" si="8"/>
        <v>33.970499999999994</v>
      </c>
      <c r="L19" s="526">
        <f t="shared" si="9"/>
        <v>23.394039999999993</v>
      </c>
      <c r="M19" s="531" t="str">
        <f>SUMIFS(Vendas[Qtd], Vendas[Cód. do Produto], Precificação[[#This Row],[Cód. do Produto]], Vendas[Status], "Entregue") &amp; " unidade(s) vendida(s)"</f>
        <v>0 unidade(s) vendida(s)</v>
      </c>
      <c r="N19" s="527"/>
      <c r="O19" s="528"/>
      <c r="P19" s="528"/>
      <c r="Q19" s="528"/>
    </row>
    <row r="20" spans="1:17" s="529" customFormat="1" ht="27.75" customHeight="1" x14ac:dyDescent="0.25">
      <c r="A20" s="522" t="s">
        <v>7</v>
      </c>
      <c r="B20" s="37" t="s">
        <v>158</v>
      </c>
      <c r="C20" s="510" t="s">
        <v>1710</v>
      </c>
      <c r="D20" s="532" t="s">
        <v>1737</v>
      </c>
      <c r="E20" s="326" t="s">
        <v>1691</v>
      </c>
      <c r="F20" s="515">
        <v>75.489999999999995</v>
      </c>
      <c r="G20" s="514"/>
      <c r="H20" s="516">
        <v>0.12</v>
      </c>
      <c r="I20" s="524">
        <f t="shared" si="7"/>
        <v>6.5</v>
      </c>
      <c r="J20" s="513">
        <v>0.55000000000000004</v>
      </c>
      <c r="K20" s="525">
        <f t="shared" si="8"/>
        <v>33.970499999999994</v>
      </c>
      <c r="L20" s="526">
        <f t="shared" si="9"/>
        <v>23.394039999999993</v>
      </c>
      <c r="M20" s="531" t="str">
        <f>SUMIFS(Vendas[Qtd], Vendas[Cód. do Produto], Precificação[[#This Row],[Cód. do Produto]], Vendas[Status], "Entregue") &amp; " unidade(s) vendida(s)"</f>
        <v>0 unidade(s) vendida(s)</v>
      </c>
      <c r="N20" s="527"/>
      <c r="O20" s="528"/>
      <c r="P20" s="528"/>
      <c r="Q20" s="528"/>
    </row>
    <row r="21" spans="1:17" s="529" customFormat="1" ht="27.75" customHeight="1" x14ac:dyDescent="0.25">
      <c r="A21" s="522" t="s">
        <v>7</v>
      </c>
      <c r="B21" s="37" t="s">
        <v>158</v>
      </c>
      <c r="C21" s="510" t="s">
        <v>1711</v>
      </c>
      <c r="D21" s="532" t="s">
        <v>1738</v>
      </c>
      <c r="E21" s="326" t="s">
        <v>1692</v>
      </c>
      <c r="F21" s="515">
        <v>75.489999999999995</v>
      </c>
      <c r="G21" s="514"/>
      <c r="H21" s="516">
        <v>0.12</v>
      </c>
      <c r="I21" s="524">
        <f t="shared" si="7"/>
        <v>6.5</v>
      </c>
      <c r="J21" s="513">
        <v>0.55000000000000004</v>
      </c>
      <c r="K21" s="525">
        <f t="shared" si="8"/>
        <v>33.970499999999994</v>
      </c>
      <c r="L21" s="526">
        <f t="shared" si="9"/>
        <v>23.394039999999993</v>
      </c>
      <c r="M21" s="531" t="str">
        <f>SUMIFS(Vendas[Qtd], Vendas[Cód. do Produto], Precificação[[#This Row],[Cód. do Produto]], Vendas[Status], "Entregue") &amp; " unidade(s) vendida(s)"</f>
        <v>0 unidade(s) vendida(s)</v>
      </c>
      <c r="N21" s="527"/>
      <c r="O21" s="528"/>
      <c r="P21" s="528"/>
      <c r="Q21" s="528"/>
    </row>
    <row r="22" spans="1:17" s="529" customFormat="1" ht="27.75" customHeight="1" x14ac:dyDescent="0.25">
      <c r="A22" s="522" t="s">
        <v>7</v>
      </c>
      <c r="B22" s="37" t="s">
        <v>158</v>
      </c>
      <c r="C22" s="510" t="s">
        <v>1712</v>
      </c>
      <c r="D22" s="532" t="s">
        <v>1739</v>
      </c>
      <c r="E22" s="326" t="s">
        <v>1693</v>
      </c>
      <c r="F22" s="515">
        <v>75.489999999999995</v>
      </c>
      <c r="G22" s="514"/>
      <c r="H22" s="516">
        <v>0.12</v>
      </c>
      <c r="I22" s="524">
        <f t="shared" si="7"/>
        <v>6.5</v>
      </c>
      <c r="J22" s="513">
        <v>0.55000000000000004</v>
      </c>
      <c r="K22" s="525">
        <f t="shared" si="8"/>
        <v>33.970499999999994</v>
      </c>
      <c r="L22" s="526">
        <f t="shared" si="9"/>
        <v>23.394039999999993</v>
      </c>
      <c r="M22" s="531" t="str">
        <f>SUMIFS(Vendas[Qtd], Vendas[Cód. do Produto], Precificação[[#This Row],[Cód. do Produto]], Vendas[Status], "Entregue") &amp; " unidade(s) vendida(s)"</f>
        <v>0 unidade(s) vendida(s)</v>
      </c>
      <c r="N22" s="527"/>
      <c r="O22" s="528"/>
      <c r="P22" s="528"/>
      <c r="Q22" s="528"/>
    </row>
    <row r="23" spans="1:17" s="529" customFormat="1" ht="27.75" customHeight="1" x14ac:dyDescent="0.25">
      <c r="A23" s="522" t="s">
        <v>7</v>
      </c>
      <c r="B23" s="37" t="s">
        <v>158</v>
      </c>
      <c r="C23" s="510" t="s">
        <v>1713</v>
      </c>
      <c r="D23" s="532" t="s">
        <v>1740</v>
      </c>
      <c r="E23" s="326" t="s">
        <v>1694</v>
      </c>
      <c r="F23" s="515">
        <v>75.489999999999995</v>
      </c>
      <c r="G23" s="514"/>
      <c r="H23" s="516">
        <v>0.12</v>
      </c>
      <c r="I23" s="524">
        <f t="shared" si="7"/>
        <v>6.5</v>
      </c>
      <c r="J23" s="513">
        <v>0.55000000000000004</v>
      </c>
      <c r="K23" s="525">
        <f t="shared" si="8"/>
        <v>33.970499999999994</v>
      </c>
      <c r="L23" s="526">
        <f t="shared" si="9"/>
        <v>23.394039999999993</v>
      </c>
      <c r="M23" s="531" t="str">
        <f>SUMIFS(Vendas[Qtd], Vendas[Cód. do Produto], Precificação[[#This Row],[Cód. do Produto]], Vendas[Status], "Entregue") &amp; " unidade(s) vendida(s)"</f>
        <v>0 unidade(s) vendida(s)</v>
      </c>
      <c r="N23" s="527"/>
      <c r="O23" s="528"/>
      <c r="P23" s="528"/>
      <c r="Q23" s="528"/>
    </row>
    <row r="24" spans="1:17" s="529" customFormat="1" ht="27.75" customHeight="1" x14ac:dyDescent="0.25">
      <c r="A24" s="522" t="s">
        <v>7</v>
      </c>
      <c r="B24" s="37" t="s">
        <v>158</v>
      </c>
      <c r="C24" s="510" t="s">
        <v>1714</v>
      </c>
      <c r="D24" s="532" t="s">
        <v>1741</v>
      </c>
      <c r="E24" s="326" t="s">
        <v>1695</v>
      </c>
      <c r="F24" s="515">
        <v>75.489999999999995</v>
      </c>
      <c r="G24" s="514"/>
      <c r="H24" s="516">
        <v>0.12</v>
      </c>
      <c r="I24" s="524">
        <f t="shared" si="7"/>
        <v>6.5</v>
      </c>
      <c r="J24" s="513">
        <v>0.55000000000000004</v>
      </c>
      <c r="K24" s="525">
        <f t="shared" si="8"/>
        <v>33.970499999999994</v>
      </c>
      <c r="L24" s="526">
        <f t="shared" si="9"/>
        <v>23.394039999999993</v>
      </c>
      <c r="M24" s="531" t="str">
        <f>SUMIFS(Vendas[Qtd], Vendas[Cód. do Produto], Precificação[[#This Row],[Cód. do Produto]], Vendas[Status], "Entregue") &amp; " unidade(s) vendida(s)"</f>
        <v>0 unidade(s) vendida(s)</v>
      </c>
      <c r="N24" s="527"/>
      <c r="O24" s="528"/>
      <c r="P24" s="528"/>
      <c r="Q24" s="528"/>
    </row>
    <row r="25" spans="1:17" s="529" customFormat="1" ht="27.75" customHeight="1" x14ac:dyDescent="0.25">
      <c r="A25" s="522" t="s">
        <v>7</v>
      </c>
      <c r="B25" s="37" t="s">
        <v>158</v>
      </c>
      <c r="C25" s="510" t="s">
        <v>1715</v>
      </c>
      <c r="D25" s="532" t="s">
        <v>1742</v>
      </c>
      <c r="E25" s="326" t="s">
        <v>1696</v>
      </c>
      <c r="F25" s="515">
        <v>75.489999999999995</v>
      </c>
      <c r="G25" s="514"/>
      <c r="H25" s="516">
        <v>0.12</v>
      </c>
      <c r="I25" s="524">
        <f t="shared" si="7"/>
        <v>6.5</v>
      </c>
      <c r="J25" s="513">
        <v>0.55000000000000004</v>
      </c>
      <c r="K25" s="525">
        <f t="shared" si="8"/>
        <v>33.970499999999994</v>
      </c>
      <c r="L25" s="526">
        <f t="shared" si="9"/>
        <v>23.394039999999993</v>
      </c>
      <c r="M25" s="531" t="str">
        <f>SUMIFS(Vendas[Qtd], Vendas[Cód. do Produto], Precificação[[#This Row],[Cód. do Produto]], Vendas[Status], "Entregue") &amp; " unidade(s) vendida(s)"</f>
        <v>0 unidade(s) vendida(s)</v>
      </c>
      <c r="N25" s="527"/>
      <c r="O25" s="528"/>
      <c r="P25" s="528"/>
      <c r="Q25" s="528"/>
    </row>
    <row r="26" spans="1:17" s="529" customFormat="1" ht="27.75" customHeight="1" x14ac:dyDescent="0.25">
      <c r="A26" s="522" t="s">
        <v>7</v>
      </c>
      <c r="B26" s="37" t="s">
        <v>158</v>
      </c>
      <c r="C26" s="510" t="s">
        <v>1716</v>
      </c>
      <c r="D26" s="532" t="s">
        <v>1743</v>
      </c>
      <c r="E26" s="326" t="s">
        <v>1697</v>
      </c>
      <c r="F26" s="515">
        <v>75.489999999999995</v>
      </c>
      <c r="G26" s="514"/>
      <c r="H26" s="516">
        <v>0.12</v>
      </c>
      <c r="I26" s="524">
        <f t="shared" si="7"/>
        <v>6.5</v>
      </c>
      <c r="J26" s="513">
        <v>0.55000000000000004</v>
      </c>
      <c r="K26" s="525">
        <f t="shared" si="8"/>
        <v>33.970499999999994</v>
      </c>
      <c r="L26" s="526">
        <f t="shared" si="9"/>
        <v>23.394039999999993</v>
      </c>
      <c r="M26" s="531" t="str">
        <f>SUMIFS(Vendas[Qtd], Vendas[Cód. do Produto], Precificação[[#This Row],[Cód. do Produto]], Vendas[Status], "Entregue") &amp; " unidade(s) vendida(s)"</f>
        <v>0 unidade(s) vendida(s)</v>
      </c>
      <c r="N26" s="527"/>
      <c r="O26" s="528"/>
      <c r="P26" s="528"/>
      <c r="Q26" s="528"/>
    </row>
    <row r="27" spans="1:17" s="529" customFormat="1" ht="27.75" customHeight="1" x14ac:dyDescent="0.25">
      <c r="A27" s="522" t="s">
        <v>7</v>
      </c>
      <c r="B27" s="37" t="s">
        <v>158</v>
      </c>
      <c r="C27" s="510" t="s">
        <v>1717</v>
      </c>
      <c r="D27" s="532" t="s">
        <v>1744</v>
      </c>
      <c r="E27" s="326" t="s">
        <v>1698</v>
      </c>
      <c r="F27" s="515">
        <v>75.489999999999995</v>
      </c>
      <c r="G27" s="514"/>
      <c r="H27" s="516">
        <v>0.12</v>
      </c>
      <c r="I27" s="524">
        <f t="shared" si="7"/>
        <v>6.5</v>
      </c>
      <c r="J27" s="513">
        <v>0.55000000000000004</v>
      </c>
      <c r="K27" s="525">
        <f t="shared" si="8"/>
        <v>33.970499999999994</v>
      </c>
      <c r="L27" s="526">
        <f t="shared" si="9"/>
        <v>23.394039999999993</v>
      </c>
      <c r="M27" s="531" t="str">
        <f>SUMIFS(Vendas[Qtd], Vendas[Cód. do Produto], Precificação[[#This Row],[Cód. do Produto]], Vendas[Status], "Entregue") &amp; " unidade(s) vendida(s)"</f>
        <v>0 unidade(s) vendida(s)</v>
      </c>
      <c r="N27" s="527"/>
      <c r="O27" s="528"/>
      <c r="P27" s="528"/>
      <c r="Q27" s="528"/>
    </row>
    <row r="28" spans="1:17" s="529" customFormat="1" ht="27.75" customHeight="1" x14ac:dyDescent="0.25">
      <c r="A28" s="522" t="s">
        <v>7</v>
      </c>
      <c r="B28" s="37" t="s">
        <v>158</v>
      </c>
      <c r="C28" s="510" t="s">
        <v>1718</v>
      </c>
      <c r="D28" s="532" t="s">
        <v>1745</v>
      </c>
      <c r="E28" s="326" t="s">
        <v>1699</v>
      </c>
      <c r="F28" s="515">
        <v>75.489999999999995</v>
      </c>
      <c r="G28" s="514"/>
      <c r="H28" s="516">
        <v>0.12</v>
      </c>
      <c r="I28" s="524">
        <f t="shared" si="7"/>
        <v>6.5</v>
      </c>
      <c r="J28" s="513">
        <v>0.55000000000000004</v>
      </c>
      <c r="K28" s="525">
        <f t="shared" si="8"/>
        <v>33.970499999999994</v>
      </c>
      <c r="L28" s="526">
        <f t="shared" si="9"/>
        <v>23.394039999999993</v>
      </c>
      <c r="M28" s="531" t="str">
        <f>SUMIFS(Vendas[Qtd], Vendas[Cód. do Produto], Precificação[[#This Row],[Cód. do Produto]], Vendas[Status], "Entregue") &amp; " unidade(s) vendida(s)"</f>
        <v>0 unidade(s) vendida(s)</v>
      </c>
      <c r="N28" s="527"/>
      <c r="O28" s="528"/>
      <c r="P28" s="528"/>
      <c r="Q28" s="528"/>
    </row>
    <row r="29" spans="1:17" s="529" customFormat="1" ht="27.75" customHeight="1" x14ac:dyDescent="0.25">
      <c r="A29" s="522" t="s">
        <v>7</v>
      </c>
      <c r="B29" s="37" t="s">
        <v>158</v>
      </c>
      <c r="C29" s="510" t="s">
        <v>1719</v>
      </c>
      <c r="D29" s="532" t="s">
        <v>1720</v>
      </c>
      <c r="E29" s="326" t="s">
        <v>1700</v>
      </c>
      <c r="F29" s="515">
        <v>75.489999999999995</v>
      </c>
      <c r="G29" s="514"/>
      <c r="H29" s="516">
        <v>0.12</v>
      </c>
      <c r="I29" s="524">
        <f t="shared" si="7"/>
        <v>6.5</v>
      </c>
      <c r="J29" s="513">
        <v>0.55000000000000004</v>
      </c>
      <c r="K29" s="525">
        <f t="shared" si="8"/>
        <v>33.970499999999994</v>
      </c>
      <c r="L29" s="526">
        <f t="shared" si="9"/>
        <v>23.394039999999993</v>
      </c>
      <c r="M29" s="531" t="str">
        <f>SUMIFS(Vendas[Qtd], Vendas[Cód. do Produto], Precificação[[#This Row],[Cód. do Produto]], Vendas[Status], "Entregue") &amp; " unidade(s) vendida(s)"</f>
        <v>0 unidade(s) vendida(s)</v>
      </c>
      <c r="N29" s="527"/>
      <c r="O29" s="528"/>
      <c r="P29" s="528"/>
      <c r="Q29" s="528"/>
    </row>
    <row r="30" spans="1:17" s="529" customFormat="1" ht="27.75" customHeight="1" x14ac:dyDescent="0.25">
      <c r="A30" s="522" t="s">
        <v>7</v>
      </c>
      <c r="B30" s="37" t="s">
        <v>158</v>
      </c>
      <c r="C30" s="510" t="s">
        <v>1721</v>
      </c>
      <c r="D30" s="532" t="s">
        <v>1746</v>
      </c>
      <c r="E30" s="326" t="s">
        <v>1701</v>
      </c>
      <c r="F30" s="515">
        <v>75.489999999999995</v>
      </c>
      <c r="G30" s="514"/>
      <c r="H30" s="516">
        <v>0.12</v>
      </c>
      <c r="I30" s="524">
        <f t="shared" si="7"/>
        <v>6.5</v>
      </c>
      <c r="J30" s="513">
        <v>0.55000000000000004</v>
      </c>
      <c r="K30" s="525">
        <f t="shared" si="8"/>
        <v>33.970499999999994</v>
      </c>
      <c r="L30" s="526">
        <f t="shared" si="9"/>
        <v>23.394039999999993</v>
      </c>
      <c r="M30" s="531" t="str">
        <f>SUMIFS(Vendas[Qtd], Vendas[Cód. do Produto], Precificação[[#This Row],[Cód. do Produto]], Vendas[Status], "Entregue") &amp; " unidade(s) vendida(s)"</f>
        <v>0 unidade(s) vendida(s)</v>
      </c>
      <c r="N30" s="527"/>
      <c r="O30" s="528"/>
      <c r="P30" s="528"/>
      <c r="Q30" s="528"/>
    </row>
    <row r="31" spans="1:17" s="529" customFormat="1" ht="27.75" customHeight="1" x14ac:dyDescent="0.25">
      <c r="A31" s="522" t="s">
        <v>7</v>
      </c>
      <c r="B31" s="37" t="s">
        <v>158</v>
      </c>
      <c r="C31" s="510" t="s">
        <v>1722</v>
      </c>
      <c r="D31" s="532" t="s">
        <v>1747</v>
      </c>
      <c r="E31" s="326" t="s">
        <v>1702</v>
      </c>
      <c r="F31" s="515">
        <v>75.489999999999995</v>
      </c>
      <c r="G31" s="514"/>
      <c r="H31" s="516">
        <v>0.12</v>
      </c>
      <c r="I31" s="524">
        <f t="shared" si="7"/>
        <v>6.5</v>
      </c>
      <c r="J31" s="513">
        <v>0.55000000000000004</v>
      </c>
      <c r="K31" s="525">
        <f t="shared" si="8"/>
        <v>33.970499999999994</v>
      </c>
      <c r="L31" s="526">
        <f t="shared" si="9"/>
        <v>23.394039999999993</v>
      </c>
      <c r="M31" s="531" t="str">
        <f>SUMIFS(Vendas[Qtd], Vendas[Cód. do Produto], Precificação[[#This Row],[Cód. do Produto]], Vendas[Status], "Entregue") &amp; " unidade(s) vendida(s)"</f>
        <v>0 unidade(s) vendida(s)</v>
      </c>
      <c r="N31" s="527"/>
      <c r="O31" s="528"/>
      <c r="P31" s="528"/>
      <c r="Q31" s="528"/>
    </row>
    <row r="32" spans="1:17" s="529" customFormat="1" ht="27.75" customHeight="1" x14ac:dyDescent="0.25">
      <c r="A32" s="522" t="s">
        <v>7</v>
      </c>
      <c r="B32" s="37" t="s">
        <v>158</v>
      </c>
      <c r="C32" s="510" t="s">
        <v>1723</v>
      </c>
      <c r="D32" s="532" t="s">
        <v>1748</v>
      </c>
      <c r="E32" s="326" t="s">
        <v>1703</v>
      </c>
      <c r="F32" s="515">
        <v>75.489999999999995</v>
      </c>
      <c r="G32" s="514"/>
      <c r="H32" s="516">
        <v>0.12</v>
      </c>
      <c r="I32" s="524">
        <f t="shared" si="7"/>
        <v>6.5</v>
      </c>
      <c r="J32" s="513">
        <v>0.55000000000000004</v>
      </c>
      <c r="K32" s="525">
        <f t="shared" si="8"/>
        <v>33.970499999999994</v>
      </c>
      <c r="L32" s="526">
        <f t="shared" si="9"/>
        <v>23.394039999999993</v>
      </c>
      <c r="M32" s="531" t="str">
        <f>SUMIFS(Vendas[Qtd], Vendas[Cód. do Produto], Precificação[[#This Row],[Cód. do Produto]], Vendas[Status], "Entregue") &amp; " unidade(s) vendida(s)"</f>
        <v>0 unidade(s) vendida(s)</v>
      </c>
      <c r="N32" s="527"/>
      <c r="O32" s="528"/>
      <c r="P32" s="528"/>
      <c r="Q32" s="528"/>
    </row>
    <row r="33" spans="1:17" s="529" customFormat="1" ht="27.75" customHeight="1" x14ac:dyDescent="0.25">
      <c r="A33" s="522" t="s">
        <v>7</v>
      </c>
      <c r="B33" s="37" t="s">
        <v>158</v>
      </c>
      <c r="C33" s="510" t="s">
        <v>1724</v>
      </c>
      <c r="D33" s="532" t="s">
        <v>1746</v>
      </c>
      <c r="E33" s="326" t="s">
        <v>1704</v>
      </c>
      <c r="F33" s="515">
        <v>75.489999999999995</v>
      </c>
      <c r="G33" s="514"/>
      <c r="H33" s="516">
        <v>0.12</v>
      </c>
      <c r="I33" s="524">
        <f t="shared" si="7"/>
        <v>6.5</v>
      </c>
      <c r="J33" s="513">
        <v>0.55000000000000004</v>
      </c>
      <c r="K33" s="525">
        <f t="shared" si="8"/>
        <v>33.970499999999994</v>
      </c>
      <c r="L33" s="526">
        <f t="shared" si="9"/>
        <v>23.394039999999993</v>
      </c>
      <c r="M33" s="531" t="str">
        <f>SUMIFS(Vendas[Qtd], Vendas[Cód. do Produto], Precificação[[#This Row],[Cód. do Produto]], Vendas[Status], "Entregue") &amp; " unidade(s) vendida(s)"</f>
        <v>0 unidade(s) vendida(s)</v>
      </c>
      <c r="N33" s="527"/>
      <c r="O33" s="528"/>
      <c r="P33" s="528"/>
      <c r="Q33" s="528"/>
    </row>
    <row r="34" spans="1:17" s="529" customFormat="1" ht="27.75" customHeight="1" x14ac:dyDescent="0.25">
      <c r="A34" s="522" t="s">
        <v>7</v>
      </c>
      <c r="B34" s="37" t="s">
        <v>158</v>
      </c>
      <c r="C34" s="510" t="s">
        <v>1725</v>
      </c>
      <c r="D34" s="532" t="s">
        <v>1749</v>
      </c>
      <c r="E34" s="326" t="s">
        <v>1705</v>
      </c>
      <c r="F34" s="515">
        <v>75.489999999999995</v>
      </c>
      <c r="G34" s="514"/>
      <c r="H34" s="516">
        <v>0.12</v>
      </c>
      <c r="I34" s="524">
        <f t="shared" si="7"/>
        <v>6.5</v>
      </c>
      <c r="J34" s="513">
        <v>0.55000000000000004</v>
      </c>
      <c r="K34" s="525">
        <f t="shared" si="8"/>
        <v>33.970499999999994</v>
      </c>
      <c r="L34" s="526">
        <f t="shared" si="9"/>
        <v>23.394039999999993</v>
      </c>
      <c r="M34" s="531" t="str">
        <f>SUMIFS(Vendas[Qtd], Vendas[Cód. do Produto], Precificação[[#This Row],[Cód. do Produto]], Vendas[Status], "Entregue") &amp; " unidade(s) vendida(s)"</f>
        <v>0 unidade(s) vendida(s)</v>
      </c>
      <c r="N34" s="527"/>
      <c r="O34" s="528"/>
      <c r="P34" s="528"/>
      <c r="Q34" s="528"/>
    </row>
    <row r="35" spans="1:17" s="529" customFormat="1" ht="27.75" customHeight="1" x14ac:dyDescent="0.25">
      <c r="A35" s="522" t="s">
        <v>7</v>
      </c>
      <c r="B35" s="37" t="s">
        <v>158</v>
      </c>
      <c r="C35" s="510" t="s">
        <v>1726</v>
      </c>
      <c r="D35" s="532" t="s">
        <v>1750</v>
      </c>
      <c r="E35" s="326" t="s">
        <v>1706</v>
      </c>
      <c r="F35" s="515">
        <v>75.489999999999995</v>
      </c>
      <c r="G35" s="514"/>
      <c r="H35" s="516">
        <v>0.12</v>
      </c>
      <c r="I35" s="524">
        <f t="shared" si="7"/>
        <v>6.5</v>
      </c>
      <c r="J35" s="513">
        <v>0.55000000000000004</v>
      </c>
      <c r="K35" s="525">
        <f t="shared" si="8"/>
        <v>33.970499999999994</v>
      </c>
      <c r="L35" s="526">
        <f t="shared" si="9"/>
        <v>23.394039999999993</v>
      </c>
      <c r="M35" s="531" t="str">
        <f>SUMIFS(Vendas[Qtd], Vendas[Cód. do Produto], Precificação[[#This Row],[Cód. do Produto]], Vendas[Status], "Entregue") &amp; " unidade(s) vendida(s)"</f>
        <v>0 unidade(s) vendida(s)</v>
      </c>
      <c r="N35" s="527"/>
      <c r="O35" s="528"/>
      <c r="P35" s="528"/>
      <c r="Q35" s="528"/>
    </row>
    <row r="36" spans="1:17" s="529" customFormat="1" ht="27.75" customHeight="1" x14ac:dyDescent="0.25">
      <c r="A36" s="522" t="s">
        <v>7</v>
      </c>
      <c r="B36" s="37" t="s">
        <v>158</v>
      </c>
      <c r="C36" s="510" t="s">
        <v>1727</v>
      </c>
      <c r="D36" s="532" t="s">
        <v>1751</v>
      </c>
      <c r="E36" s="326" t="s">
        <v>1707</v>
      </c>
      <c r="F36" s="515">
        <v>75.489999999999995</v>
      </c>
      <c r="G36" s="514"/>
      <c r="H36" s="516">
        <v>0.12</v>
      </c>
      <c r="I36" s="524">
        <f t="shared" si="7"/>
        <v>6.5</v>
      </c>
      <c r="J36" s="513">
        <v>0.55000000000000004</v>
      </c>
      <c r="K36" s="525">
        <f t="shared" si="8"/>
        <v>33.970499999999994</v>
      </c>
      <c r="L36" s="526">
        <f t="shared" si="9"/>
        <v>23.394039999999993</v>
      </c>
      <c r="M36" s="531" t="str">
        <f>SUMIFS(Vendas[Qtd], Vendas[Cód. do Produto], Precificação[[#This Row],[Cód. do Produto]], Vendas[Status], "Entregue") &amp; " unidade(s) vendida(s)"</f>
        <v>0 unidade(s) vendida(s)</v>
      </c>
      <c r="N36" s="527"/>
      <c r="O36" s="528"/>
      <c r="P36" s="528"/>
      <c r="Q36" s="528"/>
    </row>
    <row r="37" spans="1:17" s="529" customFormat="1" ht="27.75" customHeight="1" x14ac:dyDescent="0.25">
      <c r="A37" s="522" t="s">
        <v>7</v>
      </c>
      <c r="B37" s="37" t="s">
        <v>158</v>
      </c>
      <c r="C37" s="510" t="s">
        <v>1728</v>
      </c>
      <c r="D37" s="532" t="s">
        <v>1752</v>
      </c>
      <c r="E37" s="326" t="s">
        <v>1708</v>
      </c>
      <c r="F37" s="515">
        <v>75.489999999999995</v>
      </c>
      <c r="G37" s="514"/>
      <c r="H37" s="516">
        <v>0.12</v>
      </c>
      <c r="I37" s="524">
        <f t="shared" si="7"/>
        <v>6.5</v>
      </c>
      <c r="J37" s="513">
        <v>0.55000000000000004</v>
      </c>
      <c r="K37" s="525">
        <f t="shared" ref="K37:K69" si="10">IF(J37="",F37,F37*(1-J37))</f>
        <v>33.970499999999994</v>
      </c>
      <c r="L37" s="526">
        <f t="shared" ref="L37:L69" si="11">K37*(1-H37)-G37-I37</f>
        <v>23.394039999999993</v>
      </c>
      <c r="M37" s="531" t="str">
        <f>SUMIFS(Vendas[Qtd], Vendas[Cód. do Produto], Precificação[[#This Row],[Cód. do Produto]], Vendas[Status], "Entregue") &amp; " unidade(s) vendida(s)"</f>
        <v>0 unidade(s) vendida(s)</v>
      </c>
      <c r="N37" s="527"/>
      <c r="O37" s="528"/>
      <c r="P37" s="528"/>
      <c r="Q37" s="528"/>
    </row>
    <row r="38" spans="1:17" s="529" customFormat="1" ht="27.75" customHeight="1" x14ac:dyDescent="0.25">
      <c r="A38" s="522" t="s">
        <v>7</v>
      </c>
      <c r="B38" s="37" t="s">
        <v>158</v>
      </c>
      <c r="C38" s="510" t="s">
        <v>1671</v>
      </c>
      <c r="D38" s="73" t="s">
        <v>1245</v>
      </c>
      <c r="E38" s="326" t="s">
        <v>1666</v>
      </c>
      <c r="F38" s="515">
        <v>184.3</v>
      </c>
      <c r="G38" s="514">
        <v>21.1</v>
      </c>
      <c r="H38" s="516">
        <v>0.12</v>
      </c>
      <c r="I38" s="524" t="str">
        <f t="shared" si="7"/>
        <v>R$ 0,00</v>
      </c>
      <c r="J38" s="513"/>
      <c r="K38" s="525">
        <f t="shared" si="10"/>
        <v>184.3</v>
      </c>
      <c r="L38" s="526">
        <f t="shared" si="11"/>
        <v>141.084</v>
      </c>
      <c r="M38" s="524" t="str">
        <f>SUMIFS(Vendas[Qtd], Vendas[Cód. do Produto], Precificação[[#This Row],[Cód. do Produto]], Vendas[Status], "Entregue") &amp; " unidade(s) vendida(s)"</f>
        <v>0 unidade(s) vendida(s)</v>
      </c>
      <c r="N38" s="527"/>
      <c r="O38" s="528"/>
      <c r="P38" s="528"/>
      <c r="Q38" s="528"/>
    </row>
    <row r="39" spans="1:17" s="529" customFormat="1" ht="27.75" customHeight="1" x14ac:dyDescent="0.25">
      <c r="A39" s="522" t="s">
        <v>7</v>
      </c>
      <c r="B39" s="37" t="s">
        <v>158</v>
      </c>
      <c r="C39" s="510" t="s">
        <v>1670</v>
      </c>
      <c r="D39" s="73" t="s">
        <v>1668</v>
      </c>
      <c r="E39" s="326" t="s">
        <v>1669</v>
      </c>
      <c r="F39" s="515">
        <v>150</v>
      </c>
      <c r="G39" s="514">
        <v>21.1</v>
      </c>
      <c r="H39" s="516">
        <v>0.12</v>
      </c>
      <c r="I39" s="524" t="str">
        <f t="shared" si="7"/>
        <v>R$ 0,00</v>
      </c>
      <c r="J39" s="513"/>
      <c r="K39" s="525">
        <f t="shared" si="10"/>
        <v>150</v>
      </c>
      <c r="L39" s="526">
        <f t="shared" si="11"/>
        <v>110.9</v>
      </c>
      <c r="M39" s="524" t="str">
        <f>SUMIFS(Vendas[Qtd], Vendas[Cód. do Produto], Precificação[[#This Row],[Cód. do Produto]], Vendas[Status], "Entregue") &amp; " unidade(s) vendida(s)"</f>
        <v>0 unidade(s) vendida(s)</v>
      </c>
      <c r="N39" s="527"/>
      <c r="O39" s="528"/>
      <c r="P39" s="528"/>
      <c r="Q39" s="528"/>
    </row>
    <row r="40" spans="1:17" s="521" customFormat="1" ht="27.75" customHeight="1" x14ac:dyDescent="0.25">
      <c r="A40" s="522" t="s">
        <v>7</v>
      </c>
      <c r="B40" s="37" t="s">
        <v>158</v>
      </c>
      <c r="C40" s="510" t="s">
        <v>1665</v>
      </c>
      <c r="D40" s="73" t="s">
        <v>223</v>
      </c>
      <c r="E40" s="326" t="s">
        <v>1664</v>
      </c>
      <c r="F40" s="515">
        <v>336.7</v>
      </c>
      <c r="G40" s="514">
        <v>44.45</v>
      </c>
      <c r="H40" s="516">
        <v>0.17</v>
      </c>
      <c r="I40" s="524" t="str">
        <f t="shared" si="7"/>
        <v>R$ 0,00</v>
      </c>
      <c r="J40" s="513"/>
      <c r="K40" s="518">
        <f t="shared" si="10"/>
        <v>336.7</v>
      </c>
      <c r="L40" s="377">
        <f t="shared" si="11"/>
        <v>235.01099999999997</v>
      </c>
      <c r="M40" s="517" t="str">
        <f>SUMIFS(Vendas[Qtd], Vendas[Cód. do Produto], Precificação[[#This Row],[Cód. do Produto]], Vendas[Status], "Entregue") &amp; " unidade(s) vendida(s)"</f>
        <v>0 unidade(s) vendida(s)</v>
      </c>
      <c r="N40" s="519"/>
      <c r="O40" s="520"/>
      <c r="P40" s="520"/>
      <c r="Q40" s="520"/>
    </row>
    <row r="41" spans="1:17" s="378" customFormat="1" ht="27.75" customHeight="1" x14ac:dyDescent="0.25">
      <c r="A41" s="469" t="s">
        <v>7</v>
      </c>
      <c r="B41" s="37" t="s">
        <v>158</v>
      </c>
      <c r="C41" s="24" t="s">
        <v>1621</v>
      </c>
      <c r="D41" s="22" t="s">
        <v>1622</v>
      </c>
      <c r="E41" s="326" t="s">
        <v>1623</v>
      </c>
      <c r="F41" s="69">
        <v>364.4</v>
      </c>
      <c r="G41" s="362">
        <v>26.95</v>
      </c>
      <c r="H41" s="363">
        <v>0.17</v>
      </c>
      <c r="I41" s="524" t="str">
        <f t="shared" si="7"/>
        <v>R$ 0,00</v>
      </c>
      <c r="J41" s="187">
        <v>0.39</v>
      </c>
      <c r="K41" s="175">
        <f t="shared" si="10"/>
        <v>222.28399999999999</v>
      </c>
      <c r="L41" s="377">
        <f t="shared" si="11"/>
        <v>157.54571999999999</v>
      </c>
      <c r="M41" s="364" t="str">
        <f>SUMIFS(Vendas[Qtd], Vendas[Cód. do Produto], Precificação[[#This Row],[Cód. do Produto]], Vendas[Status], "Entregue") &amp; " unidade(s) vendida(s)"</f>
        <v>0 unidade(s) vendida(s)</v>
      </c>
      <c r="N41" s="417"/>
      <c r="O41" s="418"/>
      <c r="P41" s="418"/>
      <c r="Q41" s="418"/>
    </row>
    <row r="42" spans="1:17" s="378" customFormat="1" ht="27.75" customHeight="1" x14ac:dyDescent="0.25">
      <c r="A42" s="469" t="s">
        <v>7</v>
      </c>
      <c r="B42" s="37" t="s">
        <v>158</v>
      </c>
      <c r="C42" s="24" t="s">
        <v>1618</v>
      </c>
      <c r="D42" s="22" t="s">
        <v>1619</v>
      </c>
      <c r="E42" s="326" t="s">
        <v>1620</v>
      </c>
      <c r="F42" s="69">
        <v>386.9</v>
      </c>
      <c r="G42" s="362">
        <v>25.6</v>
      </c>
      <c r="H42" s="363">
        <v>0.17</v>
      </c>
      <c r="I42" s="524" t="str">
        <f t="shared" si="7"/>
        <v>R$ 0,00</v>
      </c>
      <c r="J42" s="187">
        <v>0.56000000000000005</v>
      </c>
      <c r="K42" s="175">
        <f t="shared" si="10"/>
        <v>170.23599999999996</v>
      </c>
      <c r="L42" s="377">
        <f t="shared" si="11"/>
        <v>115.69587999999996</v>
      </c>
      <c r="M42" s="364" t="str">
        <f>SUMIFS(Vendas[Qtd], Vendas[Cód. do Produto], Precificação[[#This Row],[Cód. do Produto]], Vendas[Status], "Entregue") &amp; " unidade(s) vendida(s)"</f>
        <v>2 unidade(s) vendida(s)</v>
      </c>
      <c r="N42" s="417"/>
      <c r="O42" s="418"/>
      <c r="P42" s="418"/>
      <c r="Q42" s="418"/>
    </row>
    <row r="43" spans="1:17" s="378" customFormat="1" ht="27.75" customHeight="1" x14ac:dyDescent="0.25">
      <c r="A43" s="469" t="s">
        <v>7</v>
      </c>
      <c r="B43" s="37" t="s">
        <v>158</v>
      </c>
      <c r="C43" s="24" t="s">
        <v>1615</v>
      </c>
      <c r="D43" s="22" t="s">
        <v>1616</v>
      </c>
      <c r="E43" s="326" t="s">
        <v>1617</v>
      </c>
      <c r="F43" s="69">
        <v>350</v>
      </c>
      <c r="G43" s="362">
        <v>28.45</v>
      </c>
      <c r="H43" s="363">
        <v>0.17</v>
      </c>
      <c r="I43" s="524" t="str">
        <f t="shared" si="7"/>
        <v>R$ 0,00</v>
      </c>
      <c r="J43" s="187">
        <v>0.24</v>
      </c>
      <c r="K43" s="175">
        <f t="shared" si="10"/>
        <v>266</v>
      </c>
      <c r="L43" s="377">
        <f t="shared" si="11"/>
        <v>192.33</v>
      </c>
      <c r="M43" s="364" t="str">
        <f>SUMIFS(Vendas[Qtd], Vendas[Cód. do Produto], Precificação[[#This Row],[Cód. do Produto]], Vendas[Status], "Entregue") &amp; " unidade(s) vendida(s)"</f>
        <v>1 unidade(s) vendida(s)</v>
      </c>
      <c r="N43" s="417"/>
      <c r="O43" s="418"/>
      <c r="P43" s="418"/>
      <c r="Q43" s="418"/>
    </row>
    <row r="44" spans="1:17" s="378" customFormat="1" ht="27.75" customHeight="1" x14ac:dyDescent="0.25">
      <c r="A44" s="469" t="s">
        <v>7</v>
      </c>
      <c r="B44" s="37" t="s">
        <v>158</v>
      </c>
      <c r="C44" s="24" t="s">
        <v>1612</v>
      </c>
      <c r="D44" s="22" t="s">
        <v>1613</v>
      </c>
      <c r="E44" s="326" t="s">
        <v>1614</v>
      </c>
      <c r="F44" s="69">
        <v>289.89999999999998</v>
      </c>
      <c r="G44" s="362">
        <v>26.95</v>
      </c>
      <c r="H44" s="363">
        <v>0.17</v>
      </c>
      <c r="I44" s="524" t="str">
        <f t="shared" si="7"/>
        <v>R$ 0,00</v>
      </c>
      <c r="J44" s="187">
        <v>0.2</v>
      </c>
      <c r="K44" s="175">
        <f t="shared" si="10"/>
        <v>231.92</v>
      </c>
      <c r="L44" s="377">
        <f t="shared" si="11"/>
        <v>165.5436</v>
      </c>
      <c r="M44" s="364" t="str">
        <f>SUMIFS(Vendas[Qtd], Vendas[Cód. do Produto], Precificação[[#This Row],[Cód. do Produto]], Vendas[Status], "Entregue") &amp; " unidade(s) vendida(s)"</f>
        <v>0 unidade(s) vendida(s)</v>
      </c>
      <c r="N44" s="417"/>
      <c r="O44" s="418"/>
      <c r="P44" s="418"/>
      <c r="Q44" s="418"/>
    </row>
    <row r="45" spans="1:17" s="378" customFormat="1" ht="27.75" customHeight="1" x14ac:dyDescent="0.25">
      <c r="A45" s="469" t="s">
        <v>7</v>
      </c>
      <c r="B45" s="37" t="s">
        <v>158</v>
      </c>
      <c r="C45" s="24" t="s">
        <v>1582</v>
      </c>
      <c r="D45" s="22" t="s">
        <v>1583</v>
      </c>
      <c r="E45" s="326" t="s">
        <v>1584</v>
      </c>
      <c r="F45" s="69">
        <v>279</v>
      </c>
      <c r="G45" s="362">
        <v>44.45</v>
      </c>
      <c r="H45" s="363">
        <v>0.17</v>
      </c>
      <c r="I45" s="524" t="str">
        <f t="shared" si="7"/>
        <v>R$ 0,00</v>
      </c>
      <c r="J45" s="187">
        <v>0.24</v>
      </c>
      <c r="K45" s="175">
        <f t="shared" si="10"/>
        <v>212.04</v>
      </c>
      <c r="L45" s="377">
        <f t="shared" si="11"/>
        <v>131.54319999999996</v>
      </c>
      <c r="M45" s="364" t="str">
        <f>SUMIFS(Vendas[Qtd], Vendas[Cód. do Produto], Precificação[[#This Row],[Cód. do Produto]], Vendas[Status], "Entregue") &amp; " unidade(s) vendida(s)"</f>
        <v>0 unidade(s) vendida(s)</v>
      </c>
      <c r="N45" s="417"/>
      <c r="O45" s="418"/>
      <c r="P45" s="418"/>
      <c r="Q45" s="418"/>
    </row>
    <row r="46" spans="1:17" s="378" customFormat="1" ht="27.75" customHeight="1" x14ac:dyDescent="0.25">
      <c r="A46" s="469" t="s">
        <v>7</v>
      </c>
      <c r="B46" s="37" t="s">
        <v>158</v>
      </c>
      <c r="C46" s="24" t="s">
        <v>1579</v>
      </c>
      <c r="D46" s="22" t="s">
        <v>1580</v>
      </c>
      <c r="E46" s="326" t="s">
        <v>1581</v>
      </c>
      <c r="F46" s="69">
        <v>348.65</v>
      </c>
      <c r="G46" s="362">
        <v>23.45</v>
      </c>
      <c r="H46" s="363">
        <v>0.17</v>
      </c>
      <c r="I46" s="524" t="str">
        <f t="shared" si="7"/>
        <v>R$ 0,00</v>
      </c>
      <c r="J46" s="187"/>
      <c r="K46" s="175">
        <f t="shared" si="10"/>
        <v>348.65</v>
      </c>
      <c r="L46" s="377">
        <f t="shared" si="11"/>
        <v>265.92949999999996</v>
      </c>
      <c r="M46" s="364" t="str">
        <f>SUMIFS(Vendas[Qtd], Vendas[Cód. do Produto], Precificação[[#This Row],[Cód. do Produto]], Vendas[Status], "Entregue") &amp; " unidade(s) vendida(s)"</f>
        <v>0 unidade(s) vendida(s)</v>
      </c>
      <c r="N46" s="417"/>
      <c r="O46" s="418"/>
      <c r="P46" s="418"/>
      <c r="Q46" s="418"/>
    </row>
    <row r="47" spans="1:17" s="378" customFormat="1" ht="27.75" customHeight="1" x14ac:dyDescent="0.25">
      <c r="A47" s="469" t="s">
        <v>7</v>
      </c>
      <c r="B47" s="37" t="s">
        <v>158</v>
      </c>
      <c r="C47" s="24" t="s">
        <v>1576</v>
      </c>
      <c r="D47" s="22" t="s">
        <v>1577</v>
      </c>
      <c r="E47" s="326" t="s">
        <v>1578</v>
      </c>
      <c r="F47" s="69">
        <v>298</v>
      </c>
      <c r="G47" s="362">
        <v>24.95</v>
      </c>
      <c r="H47" s="363">
        <v>0.17</v>
      </c>
      <c r="I47" s="524" t="str">
        <f t="shared" si="7"/>
        <v>R$ 0,00</v>
      </c>
      <c r="J47" s="187">
        <v>0.28999999999999998</v>
      </c>
      <c r="K47" s="175">
        <f t="shared" si="10"/>
        <v>211.57999999999998</v>
      </c>
      <c r="L47" s="377">
        <f t="shared" si="11"/>
        <v>150.66139999999999</v>
      </c>
      <c r="M47" s="364" t="str">
        <f>SUMIFS(Vendas[Qtd], Vendas[Cód. do Produto], Precificação[[#This Row],[Cód. do Produto]], Vendas[Status], "Entregue") &amp; " unidade(s) vendida(s)"</f>
        <v>0 unidade(s) vendida(s)</v>
      </c>
      <c r="N47" s="417"/>
      <c r="O47" s="418"/>
      <c r="P47" s="418"/>
      <c r="Q47" s="418"/>
    </row>
    <row r="48" spans="1:17" s="378" customFormat="1" ht="27.75" customHeight="1" x14ac:dyDescent="0.25">
      <c r="A48" s="469" t="s">
        <v>7</v>
      </c>
      <c r="B48" s="37" t="s">
        <v>158</v>
      </c>
      <c r="C48" s="24" t="s">
        <v>1573</v>
      </c>
      <c r="D48" s="22" t="s">
        <v>1574</v>
      </c>
      <c r="E48" s="326" t="s">
        <v>1575</v>
      </c>
      <c r="F48" s="69">
        <v>406.39</v>
      </c>
      <c r="G48" s="362">
        <v>24.95</v>
      </c>
      <c r="H48" s="363">
        <v>0.17</v>
      </c>
      <c r="I48" s="524" t="str">
        <f t="shared" si="7"/>
        <v>R$ 0,00</v>
      </c>
      <c r="J48" s="187">
        <v>7.0000000000000007E-2</v>
      </c>
      <c r="K48" s="175">
        <f t="shared" si="10"/>
        <v>377.94269999999995</v>
      </c>
      <c r="L48" s="377">
        <f t="shared" si="11"/>
        <v>288.74244099999993</v>
      </c>
      <c r="M48" s="364" t="str">
        <f>SUMIFS(Vendas[Qtd], Vendas[Cód. do Produto], Precificação[[#This Row],[Cód. do Produto]], Vendas[Status], "Entregue") &amp; " unidade(s) vendida(s)"</f>
        <v>0 unidade(s) vendida(s)</v>
      </c>
      <c r="N48" s="417"/>
      <c r="O48" s="418"/>
      <c r="P48" s="418"/>
      <c r="Q48" s="418"/>
    </row>
    <row r="49" spans="1:17" s="378" customFormat="1" ht="27.75" customHeight="1" x14ac:dyDescent="0.25">
      <c r="A49" s="469" t="s">
        <v>7</v>
      </c>
      <c r="B49" s="37" t="s">
        <v>158</v>
      </c>
      <c r="C49" s="24" t="s">
        <v>1570</v>
      </c>
      <c r="D49" s="22" t="s">
        <v>1571</v>
      </c>
      <c r="E49" s="326" t="s">
        <v>1572</v>
      </c>
      <c r="F49" s="69">
        <v>78</v>
      </c>
      <c r="G49" s="362"/>
      <c r="H49" s="363">
        <v>0.12</v>
      </c>
      <c r="I49" s="524">
        <f t="shared" si="7"/>
        <v>6.5</v>
      </c>
      <c r="J49" s="187">
        <v>0.38</v>
      </c>
      <c r="K49" s="175">
        <f t="shared" si="10"/>
        <v>48.36</v>
      </c>
      <c r="L49" s="377">
        <f t="shared" si="11"/>
        <v>36.056800000000003</v>
      </c>
      <c r="M49" s="364" t="str">
        <f>SUMIFS(Vendas[Qtd], Vendas[Cód. do Produto], Precificação[[#This Row],[Cód. do Produto]], Vendas[Status], "Entregue") &amp; " unidade(s) vendida(s)"</f>
        <v>0 unidade(s) vendida(s)</v>
      </c>
      <c r="N49" s="417"/>
      <c r="O49" s="418"/>
      <c r="P49" s="418"/>
      <c r="Q49" s="418"/>
    </row>
    <row r="50" spans="1:17" s="378" customFormat="1" ht="27.75" customHeight="1" x14ac:dyDescent="0.25">
      <c r="A50" s="469" t="s">
        <v>7</v>
      </c>
      <c r="B50" s="37" t="s">
        <v>158</v>
      </c>
      <c r="C50" s="24" t="s">
        <v>1567</v>
      </c>
      <c r="D50" s="22" t="s">
        <v>1568</v>
      </c>
      <c r="E50" s="326" t="s">
        <v>1569</v>
      </c>
      <c r="F50" s="69">
        <v>74.89</v>
      </c>
      <c r="G50" s="362"/>
      <c r="H50" s="363">
        <v>0.12</v>
      </c>
      <c r="I50" s="524">
        <f t="shared" si="7"/>
        <v>6.75</v>
      </c>
      <c r="J50" s="187">
        <v>0.09</v>
      </c>
      <c r="K50" s="175">
        <f t="shared" si="10"/>
        <v>68.149900000000002</v>
      </c>
      <c r="L50" s="377">
        <f t="shared" si="11"/>
        <v>53.221912000000003</v>
      </c>
      <c r="M50" s="364" t="str">
        <f>SUMIFS(Vendas[Qtd], Vendas[Cód. do Produto], Precificação[[#This Row],[Cód. do Produto]], Vendas[Status], "Entregue") &amp; " unidade(s) vendida(s)"</f>
        <v>0 unidade(s) vendida(s)</v>
      </c>
      <c r="N50" s="417"/>
      <c r="O50" s="418"/>
      <c r="P50" s="418"/>
      <c r="Q50" s="418"/>
    </row>
    <row r="51" spans="1:17" s="378" customFormat="1" ht="27.75" customHeight="1" x14ac:dyDescent="0.25">
      <c r="A51" s="469" t="s">
        <v>7</v>
      </c>
      <c r="B51" s="37" t="s">
        <v>158</v>
      </c>
      <c r="C51" s="24" t="s">
        <v>1565</v>
      </c>
      <c r="D51" s="22" t="s">
        <v>461</v>
      </c>
      <c r="E51" s="326" t="s">
        <v>1566</v>
      </c>
      <c r="F51" s="69">
        <v>264</v>
      </c>
      <c r="G51" s="362">
        <v>15.01</v>
      </c>
      <c r="H51" s="363">
        <v>0.12</v>
      </c>
      <c r="I51" s="524" t="str">
        <f t="shared" si="7"/>
        <v>R$ 0,00</v>
      </c>
      <c r="J51" s="187">
        <v>0.56000000000000005</v>
      </c>
      <c r="K51" s="175">
        <f t="shared" si="10"/>
        <v>116.15999999999998</v>
      </c>
      <c r="L51" s="377">
        <f t="shared" si="11"/>
        <v>87.210799999999978</v>
      </c>
      <c r="M51" s="364" t="str">
        <f>SUMIFS(Vendas[Qtd], Vendas[Cód. do Produto], Precificação[[#This Row],[Cód. do Produto]], Vendas[Status], "Entregue") &amp; " unidade(s) vendida(s)"</f>
        <v>0 unidade(s) vendida(s)</v>
      </c>
      <c r="N51" s="417"/>
      <c r="O51" s="418"/>
      <c r="P51" s="418"/>
      <c r="Q51" s="418"/>
    </row>
    <row r="52" spans="1:17" s="378" customFormat="1" ht="27.75" customHeight="1" x14ac:dyDescent="0.25">
      <c r="A52" s="469" t="s">
        <v>7</v>
      </c>
      <c r="B52" s="37" t="s">
        <v>158</v>
      </c>
      <c r="C52" s="24" t="s">
        <v>1560</v>
      </c>
      <c r="D52" s="22" t="s">
        <v>461</v>
      </c>
      <c r="E52" s="326" t="s">
        <v>1561</v>
      </c>
      <c r="F52" s="69">
        <v>26.4</v>
      </c>
      <c r="G52" s="362"/>
      <c r="H52" s="363">
        <v>0.12</v>
      </c>
      <c r="I52" s="524">
        <f t="shared" si="7"/>
        <v>5.8</v>
      </c>
      <c r="J52" s="187">
        <v>0.56000000000000005</v>
      </c>
      <c r="K52" s="175">
        <f t="shared" si="10"/>
        <v>11.615999999999998</v>
      </c>
      <c r="L52" s="377">
        <f t="shared" si="11"/>
        <v>4.4220799999999985</v>
      </c>
      <c r="M52" s="364" t="str">
        <f>SUMIFS(Vendas[Qtd], Vendas[Cód. do Produto], Precificação[[#This Row],[Cód. do Produto]], Vendas[Status], "Entregue") &amp; " unidade(s) vendida(s)"</f>
        <v>0 unidade(s) vendida(s)</v>
      </c>
      <c r="N52" s="417"/>
      <c r="O52" s="418"/>
      <c r="P52" s="418"/>
      <c r="Q52" s="418"/>
    </row>
    <row r="53" spans="1:17" s="378" customFormat="1" ht="27.75" customHeight="1" x14ac:dyDescent="0.25">
      <c r="A53" s="469" t="s">
        <v>7</v>
      </c>
      <c r="B53" s="37" t="s">
        <v>158</v>
      </c>
      <c r="C53" s="24" t="s">
        <v>1562</v>
      </c>
      <c r="D53" s="22" t="s">
        <v>1563</v>
      </c>
      <c r="E53" s="326" t="s">
        <v>1564</v>
      </c>
      <c r="F53" s="69">
        <v>195.16</v>
      </c>
      <c r="G53" s="362">
        <v>17.96</v>
      </c>
      <c r="H53" s="363">
        <v>0.12</v>
      </c>
      <c r="I53" s="524" t="str">
        <f t="shared" si="7"/>
        <v>R$ 0,00</v>
      </c>
      <c r="J53" s="507">
        <v>0.33</v>
      </c>
      <c r="K53" s="175">
        <f t="shared" si="10"/>
        <v>130.75719999999998</v>
      </c>
      <c r="L53" s="377">
        <f t="shared" si="11"/>
        <v>97.106335999999999</v>
      </c>
      <c r="M53" s="508" t="str">
        <f>SUMIFS(Vendas[Qtd], Vendas[Cód. do Produto], Precificação[[#This Row],[Cód. do Produto]], Vendas[Status], "Entregue") &amp; " unidade(s) vendida(s)"</f>
        <v>0 unidade(s) vendida(s)</v>
      </c>
      <c r="N53" s="417"/>
      <c r="O53" s="418"/>
      <c r="P53" s="418"/>
      <c r="Q53" s="418"/>
    </row>
    <row r="54" spans="1:17" s="378" customFormat="1" ht="27.75" customHeight="1" x14ac:dyDescent="0.25">
      <c r="A54" s="469" t="s">
        <v>7</v>
      </c>
      <c r="B54" s="37" t="s">
        <v>159</v>
      </c>
      <c r="C54" s="24" t="s">
        <v>1551</v>
      </c>
      <c r="D54" s="22" t="s">
        <v>1552</v>
      </c>
      <c r="E54" s="326" t="s">
        <v>1553</v>
      </c>
      <c r="F54" s="69">
        <v>179.05</v>
      </c>
      <c r="G54" s="362">
        <v>17.96</v>
      </c>
      <c r="H54" s="363">
        <v>0.12</v>
      </c>
      <c r="I54" s="524" t="str">
        <f t="shared" si="7"/>
        <v>R$ 0,00</v>
      </c>
      <c r="J54" s="187">
        <v>0.28000000000000003</v>
      </c>
      <c r="K54" s="175">
        <f t="shared" si="10"/>
        <v>128.916</v>
      </c>
      <c r="L54" s="377">
        <f t="shared" si="11"/>
        <v>95.486079999999987</v>
      </c>
      <c r="M54" s="364" t="str">
        <f>SUMIFS(Vendas[Qtd], Vendas[Cód. do Produto], Precificação[[#This Row],[Cód. do Produto]], Vendas[Status], "Entregue") &amp; " unidade(s) vendida(s)"</f>
        <v>4 unidade(s) vendida(s)</v>
      </c>
      <c r="N54" s="417"/>
      <c r="O54" s="418"/>
      <c r="P54" s="418"/>
      <c r="Q54" s="418"/>
    </row>
    <row r="55" spans="1:17" s="378" customFormat="1" ht="27.75" customHeight="1" x14ac:dyDescent="0.25">
      <c r="A55" s="469" t="s">
        <v>7</v>
      </c>
      <c r="B55" s="37" t="s">
        <v>158</v>
      </c>
      <c r="C55" s="24" t="s">
        <v>1548</v>
      </c>
      <c r="D55" s="22" t="s">
        <v>1549</v>
      </c>
      <c r="E55" s="326" t="s">
        <v>1550</v>
      </c>
      <c r="F55" s="69">
        <v>69.87</v>
      </c>
      <c r="G55" s="362"/>
      <c r="H55" s="363">
        <v>0.12</v>
      </c>
      <c r="I55" s="524">
        <f t="shared" si="7"/>
        <v>6.75</v>
      </c>
      <c r="J55" s="187">
        <v>0.27</v>
      </c>
      <c r="K55" s="175">
        <f t="shared" si="10"/>
        <v>51.005099999999999</v>
      </c>
      <c r="L55" s="377">
        <f t="shared" si="11"/>
        <v>38.134487999999997</v>
      </c>
      <c r="M55" s="364" t="str">
        <f>SUMIFS(Vendas[Qtd], Vendas[Cód. do Produto], Precificação[[#This Row],[Cód. do Produto]], Vendas[Status], "Entregue") &amp; " unidade(s) vendida(s)"</f>
        <v>0 unidade(s) vendida(s)</v>
      </c>
      <c r="N55" s="417"/>
      <c r="O55" s="418"/>
      <c r="P55" s="418"/>
      <c r="Q55" s="418"/>
    </row>
    <row r="56" spans="1:17" s="378" customFormat="1" ht="27.75" customHeight="1" x14ac:dyDescent="0.25">
      <c r="A56" s="469" t="s">
        <v>7</v>
      </c>
      <c r="B56" s="37" t="s">
        <v>158</v>
      </c>
      <c r="C56" s="24" t="s">
        <v>1545</v>
      </c>
      <c r="D56" s="22" t="s">
        <v>1546</v>
      </c>
      <c r="E56" s="326" t="s">
        <v>1547</v>
      </c>
      <c r="F56" s="69">
        <v>3527.99</v>
      </c>
      <c r="G56" s="362">
        <v>98.95</v>
      </c>
      <c r="H56" s="363">
        <v>0.17</v>
      </c>
      <c r="I56" s="524" t="str">
        <f t="shared" si="7"/>
        <v>R$ 0,00</v>
      </c>
      <c r="J56" s="187">
        <v>0.3</v>
      </c>
      <c r="K56" s="175">
        <f t="shared" si="10"/>
        <v>2469.5929999999998</v>
      </c>
      <c r="L56" s="377">
        <f t="shared" si="11"/>
        <v>1950.8121899999999</v>
      </c>
      <c r="M56" s="364" t="str">
        <f>SUMIFS(Vendas[Qtd], Vendas[Cód. do Produto], Precificação[[#This Row],[Cód. do Produto]], Vendas[Status], "Entregue") &amp; " unidade(s) vendida(s)"</f>
        <v>1 unidade(s) vendida(s)</v>
      </c>
      <c r="N56" s="417"/>
      <c r="O56" s="418"/>
      <c r="P56" s="418"/>
      <c r="Q56" s="418"/>
    </row>
    <row r="57" spans="1:17" s="378" customFormat="1" ht="27.75" customHeight="1" x14ac:dyDescent="0.25">
      <c r="A57" s="469" t="s">
        <v>7</v>
      </c>
      <c r="B57" s="37" t="s">
        <v>158</v>
      </c>
      <c r="C57" s="24" t="s">
        <v>1520</v>
      </c>
      <c r="D57" s="22" t="s">
        <v>1521</v>
      </c>
      <c r="E57" s="326" t="s">
        <v>1663</v>
      </c>
      <c r="F57" s="69">
        <v>150</v>
      </c>
      <c r="G57" s="362">
        <v>18.760000000000002</v>
      </c>
      <c r="H57" s="363">
        <v>0.12</v>
      </c>
      <c r="I57" s="524" t="str">
        <f t="shared" si="7"/>
        <v>R$ 0,00</v>
      </c>
      <c r="J57" s="187">
        <v>0.2</v>
      </c>
      <c r="K57" s="175">
        <f t="shared" si="10"/>
        <v>120</v>
      </c>
      <c r="L57" s="377">
        <f t="shared" si="11"/>
        <v>86.839999999999989</v>
      </c>
      <c r="M57" s="364" t="str">
        <f>SUMIFS(Vendas[Qtd], Vendas[Cód. do Produto], Precificação[[#This Row],[Cód. do Produto]], Vendas[Status], "Entregue") &amp; " unidade(s) vendida(s)"</f>
        <v>2 unidade(s) vendida(s)</v>
      </c>
      <c r="N57" s="417"/>
      <c r="O57" s="418"/>
      <c r="P57" s="418"/>
      <c r="Q57" s="418"/>
    </row>
    <row r="58" spans="1:17" s="378" customFormat="1" ht="27.75" customHeight="1" x14ac:dyDescent="0.25">
      <c r="A58" s="469" t="s">
        <v>7</v>
      </c>
      <c r="B58" s="37" t="s">
        <v>158</v>
      </c>
      <c r="C58" s="24" t="s">
        <v>1468</v>
      </c>
      <c r="D58" s="22" t="s">
        <v>1469</v>
      </c>
      <c r="E58" s="326" t="s">
        <v>1470</v>
      </c>
      <c r="F58" s="69">
        <v>150</v>
      </c>
      <c r="G58" s="362">
        <v>18.760000000000002</v>
      </c>
      <c r="H58" s="363">
        <v>0.12</v>
      </c>
      <c r="I58" s="524" t="str">
        <f t="shared" si="7"/>
        <v>R$ 0,00</v>
      </c>
      <c r="J58" s="187">
        <v>0.2</v>
      </c>
      <c r="K58" s="175">
        <f t="shared" si="10"/>
        <v>120</v>
      </c>
      <c r="L58" s="377">
        <f t="shared" si="11"/>
        <v>86.839999999999989</v>
      </c>
      <c r="M58" s="364" t="str">
        <f>SUMIFS(Vendas[Qtd], Vendas[Cód. do Produto], Precificação[[#This Row],[Cód. do Produto]], Vendas[Status], "Entregue") &amp; " unidade(s) vendida(s)"</f>
        <v>0 unidade(s) vendida(s)</v>
      </c>
      <c r="N58" s="417"/>
      <c r="O58" s="418"/>
      <c r="P58" s="418"/>
      <c r="Q58" s="418"/>
    </row>
    <row r="59" spans="1:17" s="378" customFormat="1" ht="27.75" customHeight="1" x14ac:dyDescent="0.25">
      <c r="A59" s="469" t="s">
        <v>7</v>
      </c>
      <c r="B59" s="37" t="s">
        <v>159</v>
      </c>
      <c r="C59" s="24" t="s">
        <v>1440</v>
      </c>
      <c r="D59" s="22" t="s">
        <v>223</v>
      </c>
      <c r="E59" s="326" t="s">
        <v>1441</v>
      </c>
      <c r="F59" s="69">
        <v>870</v>
      </c>
      <c r="G59" s="362">
        <v>44.45</v>
      </c>
      <c r="H59" s="363">
        <v>0.17</v>
      </c>
      <c r="I59" s="524" t="str">
        <f t="shared" si="7"/>
        <v>R$ 0,00</v>
      </c>
      <c r="J59" s="187">
        <v>0.43</v>
      </c>
      <c r="K59" s="175">
        <f t="shared" si="10"/>
        <v>495.90000000000003</v>
      </c>
      <c r="L59" s="377">
        <f t="shared" si="11"/>
        <v>367.14700000000005</v>
      </c>
      <c r="M59" s="364" t="str">
        <f>SUMIFS(Vendas[Qtd], Vendas[Cód. do Produto], Precificação[[#This Row],[Cód. do Produto]], Vendas[Status], "Entregue") &amp; " unidade(s) vendida(s)"</f>
        <v>1 unidade(s) vendida(s)</v>
      </c>
      <c r="N59" s="417"/>
      <c r="O59" s="418"/>
      <c r="P59" s="418"/>
      <c r="Q59" s="418"/>
    </row>
    <row r="60" spans="1:17" s="378" customFormat="1" ht="27.75" customHeight="1" x14ac:dyDescent="0.25">
      <c r="A60" s="469" t="s">
        <v>7</v>
      </c>
      <c r="B60" s="37" t="s">
        <v>158</v>
      </c>
      <c r="C60" s="24" t="s">
        <v>1421</v>
      </c>
      <c r="D60" s="22" t="s">
        <v>1422</v>
      </c>
      <c r="E60" s="326" t="s">
        <v>1423</v>
      </c>
      <c r="F60" s="69">
        <v>726</v>
      </c>
      <c r="G60" s="362">
        <v>98.95</v>
      </c>
      <c r="H60" s="363">
        <v>0.17</v>
      </c>
      <c r="I60" s="524" t="str">
        <f t="shared" si="7"/>
        <v>R$ 0,00</v>
      </c>
      <c r="J60" s="187"/>
      <c r="K60" s="175">
        <f t="shared" si="10"/>
        <v>726</v>
      </c>
      <c r="L60" s="377">
        <f t="shared" si="11"/>
        <v>503.62999999999994</v>
      </c>
      <c r="M60" s="364" t="str">
        <f>SUMIFS(Vendas[Qtd], Vendas[Cód. do Produto], Precificação[[#This Row],[Cód. do Produto]], Vendas[Status], "Entregue") &amp; " unidade(s) vendida(s)"</f>
        <v>1 unidade(s) vendida(s)</v>
      </c>
      <c r="N60" s="417"/>
      <c r="O60" s="418"/>
      <c r="P60" s="418"/>
      <c r="Q60" s="418"/>
    </row>
    <row r="61" spans="1:17" s="378" customFormat="1" ht="27.75" customHeight="1" x14ac:dyDescent="0.25">
      <c r="A61" s="469" t="s">
        <v>7</v>
      </c>
      <c r="B61" s="37" t="s">
        <v>159</v>
      </c>
      <c r="C61" s="24" t="s">
        <v>1394</v>
      </c>
      <c r="D61" s="486" t="s">
        <v>1395</v>
      </c>
      <c r="E61" s="326" t="s">
        <v>1396</v>
      </c>
      <c r="F61" s="69">
        <v>860</v>
      </c>
      <c r="G61" s="362"/>
      <c r="H61" s="363">
        <v>0.17</v>
      </c>
      <c r="I61" s="524">
        <f t="shared" si="7"/>
        <v>0</v>
      </c>
      <c r="J61" s="187">
        <v>0.42</v>
      </c>
      <c r="K61" s="175">
        <f t="shared" si="10"/>
        <v>498.80000000000007</v>
      </c>
      <c r="L61" s="377">
        <f t="shared" si="11"/>
        <v>414.00400000000002</v>
      </c>
      <c r="M61" s="364" t="str">
        <f>SUMIFS(Vendas[Qtd], Vendas[Cód. do Produto], Precificação[[#This Row],[Cód. do Produto]], Vendas[Status], "Entregue") &amp; " unidade(s) vendida(s)"</f>
        <v>1 unidade(s) vendida(s)</v>
      </c>
      <c r="N61" s="417"/>
      <c r="O61" s="418"/>
      <c r="P61" s="418"/>
      <c r="Q61" s="418"/>
    </row>
    <row r="62" spans="1:17" s="378" customFormat="1" ht="27.75" customHeight="1" x14ac:dyDescent="0.25">
      <c r="A62" s="469" t="s">
        <v>7</v>
      </c>
      <c r="B62" s="37" t="s">
        <v>158</v>
      </c>
      <c r="C62" s="24" t="s">
        <v>1370</v>
      </c>
      <c r="D62" s="22" t="s">
        <v>1360</v>
      </c>
      <c r="E62" s="326" t="s">
        <v>1371</v>
      </c>
      <c r="F62" s="69">
        <v>275.95999999999998</v>
      </c>
      <c r="G62" s="362">
        <v>59.35</v>
      </c>
      <c r="H62" s="363">
        <v>0.17</v>
      </c>
      <c r="I62" s="524" t="str">
        <f t="shared" si="7"/>
        <v>R$ 0,00</v>
      </c>
      <c r="J62" s="187">
        <v>0.3</v>
      </c>
      <c r="K62" s="175">
        <f t="shared" si="10"/>
        <v>193.17199999999997</v>
      </c>
      <c r="L62" s="377">
        <f t="shared" si="11"/>
        <v>100.98275999999998</v>
      </c>
      <c r="M62" s="364" t="str">
        <f>SUMIFS(Vendas[Qtd], Vendas[Cód. do Produto], Precificação[[#This Row],[Cód. do Produto]], Vendas[Status], "Entregue") &amp; " unidade(s) vendida(s)"</f>
        <v>0 unidade(s) vendida(s)</v>
      </c>
      <c r="N62" s="417"/>
      <c r="O62" s="418"/>
      <c r="P62" s="418"/>
      <c r="Q62" s="418"/>
    </row>
    <row r="63" spans="1:17" s="378" customFormat="1" ht="27.75" customHeight="1" x14ac:dyDescent="0.25">
      <c r="A63" s="469" t="s">
        <v>7</v>
      </c>
      <c r="B63" s="37" t="s">
        <v>159</v>
      </c>
      <c r="C63" s="24" t="s">
        <v>1359</v>
      </c>
      <c r="D63" s="22" t="s">
        <v>1360</v>
      </c>
      <c r="E63" s="326" t="s">
        <v>1361</v>
      </c>
      <c r="F63" s="69">
        <v>275.95999999999998</v>
      </c>
      <c r="G63" s="362">
        <v>24.95</v>
      </c>
      <c r="H63" s="363">
        <v>0.12</v>
      </c>
      <c r="I63" s="524" t="str">
        <f t="shared" si="7"/>
        <v>R$ 0,00</v>
      </c>
      <c r="J63" s="187">
        <v>0.55000000000000004</v>
      </c>
      <c r="K63" s="175">
        <f t="shared" si="10"/>
        <v>124.18199999999997</v>
      </c>
      <c r="L63" s="377">
        <f t="shared" si="11"/>
        <v>84.330159999999978</v>
      </c>
      <c r="M63" s="364" t="str">
        <f>SUMIFS(Vendas[Qtd], Vendas[Cód. do Produto], Precificação[[#This Row],[Cód. do Produto]], Vendas[Status], "Entregue") &amp; " unidade(s) vendida(s)"</f>
        <v>1 unidade(s) vendida(s)</v>
      </c>
      <c r="N63" s="417"/>
      <c r="O63" s="418"/>
      <c r="P63" s="418"/>
      <c r="Q63" s="418"/>
    </row>
    <row r="64" spans="1:17" s="378" customFormat="1" ht="27.75" customHeight="1" x14ac:dyDescent="0.25">
      <c r="A64" s="469" t="s">
        <v>7</v>
      </c>
      <c r="B64" s="37" t="s">
        <v>158</v>
      </c>
      <c r="C64" s="24" t="s">
        <v>1349</v>
      </c>
      <c r="D64" s="22" t="s">
        <v>1350</v>
      </c>
      <c r="E64" s="326" t="s">
        <v>1351</v>
      </c>
      <c r="F64" s="69">
        <v>1850</v>
      </c>
      <c r="G64" s="514">
        <v>73.45</v>
      </c>
      <c r="H64" s="363">
        <v>0.17</v>
      </c>
      <c r="I64" s="524" t="str">
        <f t="shared" si="7"/>
        <v>R$ 0,00</v>
      </c>
      <c r="J64" s="187">
        <v>0.19</v>
      </c>
      <c r="K64" s="175">
        <f t="shared" si="10"/>
        <v>1498.5</v>
      </c>
      <c r="L64" s="377">
        <f t="shared" si="11"/>
        <v>1170.3049999999998</v>
      </c>
      <c r="M64" s="364" t="str">
        <f>SUMIFS(Vendas[Qtd], Vendas[Cód. do Produto], Precificação[[#This Row],[Cód. do Produto]], Vendas[Status], "Entregue") &amp; " unidade(s) vendida(s)"</f>
        <v>0 unidade(s) vendida(s)</v>
      </c>
      <c r="N64" s="417"/>
      <c r="O64" s="418"/>
      <c r="P64" s="418"/>
      <c r="Q64" s="418"/>
    </row>
    <row r="65" spans="1:17" s="378" customFormat="1" ht="27.75" customHeight="1" x14ac:dyDescent="0.25">
      <c r="A65" s="469" t="s">
        <v>7</v>
      </c>
      <c r="B65" s="37" t="s">
        <v>158</v>
      </c>
      <c r="C65" s="24" t="s">
        <v>1330</v>
      </c>
      <c r="D65" s="22" t="s">
        <v>283</v>
      </c>
      <c r="E65" s="326" t="s">
        <v>284</v>
      </c>
      <c r="F65" s="69">
        <v>449.99</v>
      </c>
      <c r="G65" s="362">
        <v>26.95</v>
      </c>
      <c r="H65" s="363">
        <v>0.17</v>
      </c>
      <c r="I65" s="524" t="str">
        <f t="shared" si="7"/>
        <v>R$ 0,00</v>
      </c>
      <c r="J65" s="187"/>
      <c r="K65" s="175">
        <f t="shared" si="10"/>
        <v>449.99</v>
      </c>
      <c r="L65" s="377">
        <f t="shared" si="11"/>
        <v>346.54169999999999</v>
      </c>
      <c r="M65" s="364" t="str">
        <f>SUMIFS(Vendas[Qtd], Vendas[Cód. do Produto], Precificação[[#This Row],[Cód. do Produto]], Vendas[Status], "Entregue") &amp; " unidade(s) vendida(s)"</f>
        <v>1 unidade(s) vendida(s)</v>
      </c>
      <c r="N65" s="417"/>
      <c r="O65" s="418"/>
      <c r="P65" s="418"/>
      <c r="Q65" s="418"/>
    </row>
    <row r="66" spans="1:17" s="229" customFormat="1" ht="27.75" customHeight="1" x14ac:dyDescent="0.25">
      <c r="A66" s="469" t="s">
        <v>7</v>
      </c>
      <c r="B66" s="37" t="s">
        <v>158</v>
      </c>
      <c r="C66" s="24" t="s">
        <v>1291</v>
      </c>
      <c r="D66" s="24" t="s">
        <v>1293</v>
      </c>
      <c r="E66" s="305" t="s">
        <v>1292</v>
      </c>
      <c r="F66" s="69">
        <v>550</v>
      </c>
      <c r="G66" s="362">
        <v>44.45</v>
      </c>
      <c r="H66" s="363">
        <v>0.17</v>
      </c>
      <c r="I66" s="524" t="str">
        <f t="shared" si="7"/>
        <v>R$ 0,00</v>
      </c>
      <c r="J66" s="188"/>
      <c r="K66" s="175">
        <f t="shared" si="10"/>
        <v>550</v>
      </c>
      <c r="L66" s="377">
        <f t="shared" si="11"/>
        <v>412.05</v>
      </c>
      <c r="M66" s="364" t="str">
        <f>SUMIFS(Vendas[Qtd], Vendas[Cód. do Produto], Precificação[[#This Row],[Cód. do Produto]], Vendas[Status], "Entregue") &amp; " unidade(s) vendida(s)"</f>
        <v>1 unidade(s) vendida(s)</v>
      </c>
      <c r="N66" s="372"/>
      <c r="O66" s="382"/>
      <c r="P66" s="382"/>
      <c r="Q66" s="382"/>
    </row>
    <row r="67" spans="1:17" s="229" customFormat="1" ht="27.75" customHeight="1" x14ac:dyDescent="0.25">
      <c r="A67" s="469" t="s">
        <v>7</v>
      </c>
      <c r="B67" s="37" t="s">
        <v>158</v>
      </c>
      <c r="C67" s="510" t="s">
        <v>1667</v>
      </c>
      <c r="D67" s="510" t="s">
        <v>1245</v>
      </c>
      <c r="E67" s="305" t="s">
        <v>1666</v>
      </c>
      <c r="F67" s="69">
        <v>184.3</v>
      </c>
      <c r="G67" s="362">
        <v>21.1</v>
      </c>
      <c r="H67" s="363">
        <v>0.12</v>
      </c>
      <c r="I67" s="524" t="str">
        <f t="shared" si="7"/>
        <v>R$ 0,00</v>
      </c>
      <c r="J67" s="188"/>
      <c r="K67" s="175">
        <f t="shared" si="10"/>
        <v>184.3</v>
      </c>
      <c r="L67" s="377">
        <f t="shared" si="11"/>
        <v>141.084</v>
      </c>
      <c r="M67" s="364" t="str">
        <f>SUMIFS(Vendas[Qtd], Vendas[Cód. do Produto], Precificação[[#This Row],[Cód. do Produto]], Vendas[Status], "Entregue") &amp; " unidade(s) vendida(s)"</f>
        <v>0 unidade(s) vendida(s)</v>
      </c>
      <c r="N67" s="373"/>
      <c r="O67" s="383"/>
      <c r="P67" s="383"/>
      <c r="Q67" s="459"/>
    </row>
    <row r="68" spans="1:17" s="229" customFormat="1" ht="27.75" customHeight="1" x14ac:dyDescent="0.25">
      <c r="A68" s="461" t="s">
        <v>7</v>
      </c>
      <c r="B68" s="37" t="s">
        <v>159</v>
      </c>
      <c r="C68" s="24" t="s">
        <v>1232</v>
      </c>
      <c r="D68" s="24" t="s">
        <v>223</v>
      </c>
      <c r="E68" s="305" t="s">
        <v>1233</v>
      </c>
      <c r="F68" s="69">
        <v>2500</v>
      </c>
      <c r="G68" s="362">
        <v>44.45</v>
      </c>
      <c r="H68" s="363">
        <v>0.17</v>
      </c>
      <c r="I68" s="524" t="str">
        <f t="shared" si="7"/>
        <v>R$ 0,00</v>
      </c>
      <c r="J68" s="188">
        <v>0.4</v>
      </c>
      <c r="K68" s="175">
        <f t="shared" si="10"/>
        <v>1500</v>
      </c>
      <c r="L68" s="377">
        <f t="shared" si="11"/>
        <v>1200.55</v>
      </c>
      <c r="M68" s="364" t="str">
        <f>SUMIFS(Vendas[Qtd], Vendas[Cód. do Produto], Precificação[[#This Row],[Cód. do Produto]], Vendas[Status], "Entregue") &amp; " unidade(s) vendida(s)"</f>
        <v>1 unidade(s) vendida(s)</v>
      </c>
      <c r="N68" s="373"/>
      <c r="O68" s="383"/>
      <c r="P68" s="383"/>
      <c r="Q68" s="383"/>
    </row>
    <row r="69" spans="1:17" s="229" customFormat="1" ht="27.75" customHeight="1" x14ac:dyDescent="0.25">
      <c r="A69" s="469" t="s">
        <v>7</v>
      </c>
      <c r="B69" s="37" t="s">
        <v>158</v>
      </c>
      <c r="C69" s="24" t="s">
        <v>1227</v>
      </c>
      <c r="D69" s="24" t="s">
        <v>1228</v>
      </c>
      <c r="E69" s="305" t="s">
        <v>1229</v>
      </c>
      <c r="F69" s="69">
        <v>600</v>
      </c>
      <c r="G69" s="362">
        <v>23.45</v>
      </c>
      <c r="H69" s="363">
        <v>0.17</v>
      </c>
      <c r="I69" s="524" t="str">
        <f t="shared" si="7"/>
        <v>R$ 0,00</v>
      </c>
      <c r="J69" s="188">
        <v>0.12</v>
      </c>
      <c r="K69" s="175">
        <f t="shared" si="10"/>
        <v>528</v>
      </c>
      <c r="L69" s="377">
        <f t="shared" si="11"/>
        <v>414.78999999999996</v>
      </c>
      <c r="M69" s="364" t="str">
        <f>SUMIFS(Vendas[Qtd], Vendas[Cód. do Produto], Precificação[[#This Row],[Cód. do Produto]], Vendas[Status], "Entregue") &amp; " unidade(s) vendida(s)"</f>
        <v>2 unidade(s) vendida(s)</v>
      </c>
      <c r="N69" s="373"/>
      <c r="O69" s="383"/>
      <c r="P69" s="383"/>
      <c r="Q69" s="383"/>
    </row>
    <row r="70" spans="1:17" s="229" customFormat="1" ht="27.75" customHeight="1" x14ac:dyDescent="0.25">
      <c r="A70" s="469" t="s">
        <v>7</v>
      </c>
      <c r="B70" s="37" t="s">
        <v>158</v>
      </c>
      <c r="C70" s="24" t="s">
        <v>8</v>
      </c>
      <c r="D70" s="24" t="s">
        <v>220</v>
      </c>
      <c r="E70" s="305" t="s">
        <v>9</v>
      </c>
      <c r="F70" s="69">
        <v>2400</v>
      </c>
      <c r="G70" s="362">
        <v>26.95</v>
      </c>
      <c r="H70" s="363">
        <v>0.17</v>
      </c>
      <c r="I70" s="524" t="str">
        <f t="shared" si="7"/>
        <v>R$ 0,00</v>
      </c>
      <c r="J70" s="188">
        <v>0.05</v>
      </c>
      <c r="K70" s="175">
        <f t="shared" ref="K70:K100" si="12">IF(J70="",F70,F70*(1-J70))</f>
        <v>2280</v>
      </c>
      <c r="L70" s="377">
        <f t="shared" ref="L70:L100" si="13">K70*(1-H70)-G70-I70</f>
        <v>1865.4499999999998</v>
      </c>
      <c r="M70" s="364" t="str">
        <f>SUMIFS(Vendas[Qtd], Vendas[Cód. do Produto], Precificação[[#This Row],[Cód. do Produto]], Vendas[Status], "Entregue") &amp; " unidade(s) vendida(s)"</f>
        <v>8 unidade(s) vendida(s)</v>
      </c>
      <c r="N70" s="373"/>
      <c r="O70" s="383"/>
      <c r="P70" s="383"/>
      <c r="Q70" s="383"/>
    </row>
    <row r="71" spans="1:17" s="229" customFormat="1" ht="27.75" customHeight="1" x14ac:dyDescent="0.25">
      <c r="A71" s="470" t="s">
        <v>7</v>
      </c>
      <c r="B71" s="37" t="s">
        <v>158</v>
      </c>
      <c r="C71" s="24" t="s">
        <v>47</v>
      </c>
      <c r="D71" s="22" t="s">
        <v>223</v>
      </c>
      <c r="E71" s="305" t="s">
        <v>48</v>
      </c>
      <c r="F71" s="69">
        <v>34</v>
      </c>
      <c r="G71" s="362"/>
      <c r="H71" s="363">
        <v>0.12</v>
      </c>
      <c r="I71" s="524">
        <f t="shared" si="7"/>
        <v>6.25</v>
      </c>
      <c r="J71" s="188">
        <v>0.24</v>
      </c>
      <c r="K71" s="175">
        <f t="shared" si="12"/>
        <v>25.84</v>
      </c>
      <c r="L71" s="377">
        <f t="shared" si="13"/>
        <v>16.4892</v>
      </c>
      <c r="M71" s="364" t="str">
        <f>SUMIFS(Vendas[Qtd], Vendas[Cód. do Produto], Precificação[[#This Row],[Cód. do Produto]], Vendas[Status], "Entregue") &amp; " unidade(s) vendida(s)"</f>
        <v>1 unidade(s) vendida(s)</v>
      </c>
      <c r="N71" s="373"/>
      <c r="O71" s="383"/>
      <c r="P71" s="383"/>
      <c r="Q71" s="383"/>
    </row>
    <row r="72" spans="1:17" s="229" customFormat="1" ht="27.75" customHeight="1" x14ac:dyDescent="0.25">
      <c r="A72" s="471" t="s">
        <v>7</v>
      </c>
      <c r="B72" s="37" t="s">
        <v>158</v>
      </c>
      <c r="C72" s="22" t="s">
        <v>108</v>
      </c>
      <c r="D72" s="22" t="s">
        <v>224</v>
      </c>
      <c r="E72" s="326" t="s">
        <v>109</v>
      </c>
      <c r="F72" s="69">
        <v>320</v>
      </c>
      <c r="G72" s="362">
        <v>22.45</v>
      </c>
      <c r="H72" s="363">
        <v>0.17</v>
      </c>
      <c r="I72" s="524" t="str">
        <f t="shared" si="7"/>
        <v>R$ 0,00</v>
      </c>
      <c r="J72" s="188">
        <v>0.15</v>
      </c>
      <c r="K72" s="175">
        <f t="shared" si="12"/>
        <v>272</v>
      </c>
      <c r="L72" s="377">
        <f t="shared" si="13"/>
        <v>203.31</v>
      </c>
      <c r="M72" s="364" t="str">
        <f>SUMIFS(Vendas[Qtd], Vendas[Cód. do Produto], Precificação[[#This Row],[Cód. do Produto]], Vendas[Status], "Entregue") &amp; " unidade(s) vendida(s)"</f>
        <v>1 unidade(s) vendida(s)</v>
      </c>
      <c r="N72" s="373"/>
      <c r="O72" s="383"/>
      <c r="P72" s="383"/>
      <c r="Q72" s="383"/>
    </row>
    <row r="73" spans="1:17" s="385" customFormat="1" ht="27.75" customHeight="1" x14ac:dyDescent="0.25">
      <c r="A73" s="471" t="s">
        <v>7</v>
      </c>
      <c r="B73" s="273" t="s">
        <v>159</v>
      </c>
      <c r="C73" s="272" t="s">
        <v>130</v>
      </c>
      <c r="D73" s="272" t="s">
        <v>225</v>
      </c>
      <c r="E73" s="305" t="s">
        <v>131</v>
      </c>
      <c r="F73" s="365">
        <v>240</v>
      </c>
      <c r="G73" s="362">
        <v>19.3</v>
      </c>
      <c r="H73" s="366">
        <v>0.17</v>
      </c>
      <c r="I73" s="524" t="str">
        <f t="shared" si="7"/>
        <v>R$ 0,00</v>
      </c>
      <c r="J73" s="188">
        <v>0.23</v>
      </c>
      <c r="K73" s="175">
        <f t="shared" si="12"/>
        <v>184.8</v>
      </c>
      <c r="L73" s="377">
        <f t="shared" si="13"/>
        <v>134.084</v>
      </c>
      <c r="M73" s="364" t="str">
        <f>SUMIFS(Vendas[Qtd], Vendas[Cód. do Produto], Precificação[[#This Row],[Cód. do Produto]], Vendas[Status], "Entregue") &amp; " unidade(s) vendida(s)"</f>
        <v>0 unidade(s) vendida(s)</v>
      </c>
      <c r="N73" s="374"/>
      <c r="O73" s="384"/>
      <c r="P73" s="384"/>
      <c r="Q73" s="384"/>
    </row>
    <row r="74" spans="1:17" s="229" customFormat="1" ht="27.75" customHeight="1" x14ac:dyDescent="0.25">
      <c r="A74" s="470" t="s">
        <v>7</v>
      </c>
      <c r="B74" s="37" t="s">
        <v>158</v>
      </c>
      <c r="C74" s="24" t="s">
        <v>30</v>
      </c>
      <c r="D74" s="24" t="s">
        <v>226</v>
      </c>
      <c r="E74" s="305" t="s">
        <v>31</v>
      </c>
      <c r="F74" s="515">
        <v>63.88</v>
      </c>
      <c r="G74" s="514"/>
      <c r="H74" s="363">
        <v>0.12</v>
      </c>
      <c r="I74" s="524">
        <f t="shared" si="7"/>
        <v>6.75</v>
      </c>
      <c r="J74" s="187">
        <v>0.1</v>
      </c>
      <c r="K74" s="175">
        <f t="shared" si="12"/>
        <v>57.492000000000004</v>
      </c>
      <c r="L74" s="377">
        <f t="shared" si="13"/>
        <v>43.842960000000005</v>
      </c>
      <c r="M74" s="364" t="str">
        <f>SUMIFS(Vendas[Qtd], Vendas[Cód. do Produto], Precificação[[#This Row],[Cód. do Produto]], Vendas[Status], "Entregue") &amp; " unidade(s) vendida(s)"</f>
        <v>12 unidade(s) vendida(s)</v>
      </c>
      <c r="N74" s="373"/>
      <c r="O74" s="383"/>
      <c r="P74" s="383"/>
      <c r="Q74" s="383"/>
    </row>
    <row r="75" spans="1:17" s="229" customFormat="1" ht="27.75" customHeight="1" x14ac:dyDescent="0.25">
      <c r="A75" s="471" t="s">
        <v>7</v>
      </c>
      <c r="B75" s="37" t="s">
        <v>158</v>
      </c>
      <c r="C75" s="22" t="s">
        <v>120</v>
      </c>
      <c r="D75" s="22" t="s">
        <v>227</v>
      </c>
      <c r="E75" s="326" t="s">
        <v>121</v>
      </c>
      <c r="F75" s="69">
        <v>599.99</v>
      </c>
      <c r="G75" s="362">
        <v>24.95</v>
      </c>
      <c r="H75" s="363">
        <v>0.17</v>
      </c>
      <c r="I75" s="524" t="str">
        <f t="shared" si="7"/>
        <v>R$ 0,00</v>
      </c>
      <c r="J75" s="187">
        <v>0.16</v>
      </c>
      <c r="K75" s="175">
        <f t="shared" si="12"/>
        <v>503.99160000000001</v>
      </c>
      <c r="L75" s="377">
        <f t="shared" si="13"/>
        <v>393.36302799999999</v>
      </c>
      <c r="M75" s="364" t="str">
        <f>SUMIFS(Vendas[Qtd], Vendas[Cód. do Produto], Precificação[[#This Row],[Cód. do Produto]], Vendas[Status], "Entregue") &amp; " unidade(s) vendida(s)"</f>
        <v>0 unidade(s) vendida(s)</v>
      </c>
      <c r="N75" s="373"/>
      <c r="O75" s="383"/>
      <c r="P75" s="383"/>
      <c r="Q75" s="383"/>
    </row>
    <row r="76" spans="1:17" s="229" customFormat="1" ht="27.75" customHeight="1" x14ac:dyDescent="0.25">
      <c r="A76" s="471" t="s">
        <v>7</v>
      </c>
      <c r="B76" s="37" t="s">
        <v>158</v>
      </c>
      <c r="C76" s="22" t="s">
        <v>107</v>
      </c>
      <c r="D76" s="22" t="s">
        <v>228</v>
      </c>
      <c r="E76" s="326" t="s">
        <v>106</v>
      </c>
      <c r="F76" s="69">
        <v>525</v>
      </c>
      <c r="G76" s="362">
        <v>24.95</v>
      </c>
      <c r="H76" s="363">
        <v>0.17</v>
      </c>
      <c r="I76" s="524" t="str">
        <f t="shared" ref="I76:I139" si="14">IF(G76&lt;&gt;"", "R$ 0,00",
IF(K76&lt;=12.5, INT((K76/2)/0.02)*0.02,
IF(K76&lt;29, 6.25,
IF(K76&lt;50, 6.5,
IF(K76&lt;=79, 6.75,
0)))))</f>
        <v>R$ 0,00</v>
      </c>
      <c r="J76" s="187">
        <v>0.21</v>
      </c>
      <c r="K76" s="175">
        <f t="shared" si="12"/>
        <v>414.75</v>
      </c>
      <c r="L76" s="377">
        <f t="shared" si="13"/>
        <v>319.29250000000002</v>
      </c>
      <c r="M76" s="364" t="str">
        <f>SUMIFS(Vendas[Qtd], Vendas[Cód. do Produto], Precificação[[#This Row],[Cód. do Produto]], Vendas[Status], "Entregue") &amp; " unidade(s) vendida(s)"</f>
        <v>4 unidade(s) vendida(s)</v>
      </c>
      <c r="N76" s="373"/>
      <c r="O76" s="383"/>
      <c r="P76" s="383"/>
      <c r="Q76" s="383"/>
    </row>
    <row r="77" spans="1:17" s="229" customFormat="1" ht="27.75" customHeight="1" x14ac:dyDescent="0.25">
      <c r="A77" s="472" t="s">
        <v>7</v>
      </c>
      <c r="B77" s="37" t="s">
        <v>158</v>
      </c>
      <c r="C77" s="24" t="s">
        <v>162</v>
      </c>
      <c r="D77" s="24" t="s">
        <v>229</v>
      </c>
      <c r="E77" s="326" t="s">
        <v>163</v>
      </c>
      <c r="F77" s="69">
        <v>410</v>
      </c>
      <c r="G77" s="362">
        <v>44.45</v>
      </c>
      <c r="H77" s="363">
        <v>0.17</v>
      </c>
      <c r="I77" s="524" t="str">
        <f t="shared" si="14"/>
        <v>R$ 0,00</v>
      </c>
      <c r="J77" s="188"/>
      <c r="K77" s="175">
        <f t="shared" si="12"/>
        <v>410</v>
      </c>
      <c r="L77" s="377">
        <f t="shared" si="13"/>
        <v>295.85000000000002</v>
      </c>
      <c r="M77" s="364" t="str">
        <f>SUMIFS(Vendas[Qtd], Vendas[Cód. do Produto], Precificação[[#This Row],[Cód. do Produto]], Vendas[Status], "Entregue") &amp; " unidade(s) vendida(s)"</f>
        <v>0 unidade(s) vendida(s)</v>
      </c>
      <c r="N77" s="373"/>
      <c r="O77" s="383"/>
      <c r="P77" s="383"/>
      <c r="Q77" s="383"/>
    </row>
    <row r="78" spans="1:17" s="229" customFormat="1" ht="27.75" customHeight="1" x14ac:dyDescent="0.25">
      <c r="A78" s="470" t="s">
        <v>7</v>
      </c>
      <c r="B78" s="37" t="s">
        <v>159</v>
      </c>
      <c r="C78" s="24" t="s">
        <v>26</v>
      </c>
      <c r="D78" s="24" t="s">
        <v>230</v>
      </c>
      <c r="E78" s="305" t="s">
        <v>1479</v>
      </c>
      <c r="F78" s="69">
        <v>67</v>
      </c>
      <c r="G78" s="362"/>
      <c r="H78" s="363">
        <v>0.17</v>
      </c>
      <c r="I78" s="524">
        <f t="shared" si="14"/>
        <v>6.75</v>
      </c>
      <c r="J78" s="187">
        <v>0.1</v>
      </c>
      <c r="K78" s="175">
        <f t="shared" si="12"/>
        <v>60.300000000000004</v>
      </c>
      <c r="L78" s="377">
        <f t="shared" si="13"/>
        <v>43.298999999999999</v>
      </c>
      <c r="M78" s="364" t="str">
        <f>SUMIFS(Vendas[Qtd], Vendas[Cód. do Produto], Precificação[[#This Row],[Cód. do Produto]], Vendas[Status], "Entregue") &amp; " unidade(s) vendida(s)"</f>
        <v>14 unidade(s) vendida(s)</v>
      </c>
      <c r="N78" s="373"/>
      <c r="O78" s="383"/>
      <c r="P78" s="383"/>
      <c r="Q78" s="383"/>
    </row>
    <row r="79" spans="1:17" s="229" customFormat="1" ht="27.75" customHeight="1" x14ac:dyDescent="0.25">
      <c r="A79" s="471" t="s">
        <v>7</v>
      </c>
      <c r="B79" s="37" t="s">
        <v>158</v>
      </c>
      <c r="C79" s="22" t="s">
        <v>38</v>
      </c>
      <c r="D79" s="22" t="s">
        <v>231</v>
      </c>
      <c r="E79" s="326" t="s">
        <v>39</v>
      </c>
      <c r="F79" s="69">
        <v>82</v>
      </c>
      <c r="G79" s="362"/>
      <c r="H79" s="363">
        <v>0.12</v>
      </c>
      <c r="I79" s="524">
        <f t="shared" si="14"/>
        <v>6.75</v>
      </c>
      <c r="J79" s="187">
        <v>0.38</v>
      </c>
      <c r="K79" s="175">
        <f t="shared" si="12"/>
        <v>50.839999999999996</v>
      </c>
      <c r="L79" s="377">
        <f t="shared" si="13"/>
        <v>37.989199999999997</v>
      </c>
      <c r="M79" s="364" t="str">
        <f>SUMIFS(Vendas[Qtd], Vendas[Cód. do Produto], Precificação[[#This Row],[Cód. do Produto]], Vendas[Status], "Entregue") &amp; " unidade(s) vendida(s)"</f>
        <v>0 unidade(s) vendida(s)</v>
      </c>
      <c r="N79" s="373"/>
      <c r="O79" s="383"/>
      <c r="P79" s="383"/>
      <c r="Q79" s="383"/>
    </row>
    <row r="80" spans="1:17" s="229" customFormat="1" ht="27.75" customHeight="1" x14ac:dyDescent="0.25">
      <c r="A80" s="470" t="s">
        <v>7</v>
      </c>
      <c r="B80" s="37" t="s">
        <v>158</v>
      </c>
      <c r="C80" s="24" t="s">
        <v>22</v>
      </c>
      <c r="D80" s="24" t="s">
        <v>232</v>
      </c>
      <c r="E80" s="305" t="s">
        <v>23</v>
      </c>
      <c r="F80" s="69">
        <v>70</v>
      </c>
      <c r="G80" s="362"/>
      <c r="H80" s="363">
        <v>0.17</v>
      </c>
      <c r="I80" s="524">
        <f t="shared" si="14"/>
        <v>6.75</v>
      </c>
      <c r="J80" s="187">
        <v>0.14000000000000001</v>
      </c>
      <c r="K80" s="175">
        <f t="shared" si="12"/>
        <v>60.199999999999996</v>
      </c>
      <c r="L80" s="377">
        <f t="shared" si="13"/>
        <v>43.215999999999994</v>
      </c>
      <c r="M80" s="364" t="str">
        <f>SUMIFS(Vendas[Qtd], Vendas[Cód. do Produto], Precificação[[#This Row],[Cód. do Produto]], Vendas[Status], "Entregue") &amp; " unidade(s) vendida(s)"</f>
        <v>0 unidade(s) vendida(s)</v>
      </c>
      <c r="N80" s="373"/>
      <c r="O80" s="383"/>
      <c r="P80" s="383"/>
      <c r="Q80" s="383"/>
    </row>
    <row r="81" spans="1:17" s="229" customFormat="1" ht="27.75" customHeight="1" x14ac:dyDescent="0.25">
      <c r="A81" s="472" t="s">
        <v>7</v>
      </c>
      <c r="B81" s="37" t="s">
        <v>158</v>
      </c>
      <c r="C81" s="22" t="s">
        <v>86</v>
      </c>
      <c r="D81" s="22" t="s">
        <v>1789</v>
      </c>
      <c r="E81" s="326" t="s">
        <v>559</v>
      </c>
      <c r="F81" s="69">
        <v>280</v>
      </c>
      <c r="G81" s="362">
        <v>21.45</v>
      </c>
      <c r="H81" s="363">
        <v>0.17</v>
      </c>
      <c r="I81" s="524" t="str">
        <f t="shared" si="14"/>
        <v>R$ 0,00</v>
      </c>
      <c r="J81" s="187">
        <v>0.1</v>
      </c>
      <c r="K81" s="175">
        <f t="shared" si="12"/>
        <v>252</v>
      </c>
      <c r="L81" s="377">
        <f t="shared" si="13"/>
        <v>187.71</v>
      </c>
      <c r="M81" s="364" t="str">
        <f>SUMIFS(Vendas[Qtd], Vendas[Cód. do Produto], Precificação[[#This Row],[Cód. do Produto]], Vendas[Status], "Entregue") &amp; " unidade(s) vendida(s)"</f>
        <v>4 unidade(s) vendida(s)</v>
      </c>
      <c r="N81" s="373"/>
      <c r="O81" s="383"/>
      <c r="P81" s="383"/>
      <c r="Q81" s="383"/>
    </row>
    <row r="82" spans="1:17" s="229" customFormat="1" ht="27.75" customHeight="1" x14ac:dyDescent="0.25">
      <c r="A82" s="472" t="s">
        <v>7</v>
      </c>
      <c r="B82" s="37" t="s">
        <v>158</v>
      </c>
      <c r="C82" s="24" t="s">
        <v>157</v>
      </c>
      <c r="D82" s="24" t="s">
        <v>233</v>
      </c>
      <c r="E82" s="326" t="s">
        <v>156</v>
      </c>
      <c r="F82" s="69">
        <v>620</v>
      </c>
      <c r="G82" s="362">
        <v>23.45</v>
      </c>
      <c r="H82" s="363">
        <v>0.17</v>
      </c>
      <c r="I82" s="524" t="str">
        <f t="shared" si="14"/>
        <v>R$ 0,00</v>
      </c>
      <c r="J82" s="187">
        <v>0.18</v>
      </c>
      <c r="K82" s="175">
        <f t="shared" si="12"/>
        <v>508.40000000000003</v>
      </c>
      <c r="L82" s="377">
        <f t="shared" si="13"/>
        <v>398.52199999999999</v>
      </c>
      <c r="M82" s="364" t="str">
        <f>SUMIFS(Vendas[Qtd], Vendas[Cód. do Produto], Precificação[[#This Row],[Cód. do Produto]], Vendas[Status], "Entregue") &amp; " unidade(s) vendida(s)"</f>
        <v>0 unidade(s) vendida(s)</v>
      </c>
      <c r="N82" s="373"/>
      <c r="O82" s="383"/>
      <c r="P82" s="383"/>
      <c r="Q82" s="383"/>
    </row>
    <row r="83" spans="1:17" s="229" customFormat="1" ht="27.75" customHeight="1" x14ac:dyDescent="0.25">
      <c r="A83" s="470" t="s">
        <v>7</v>
      </c>
      <c r="B83" s="37" t="s">
        <v>159</v>
      </c>
      <c r="C83" s="24" t="s">
        <v>42</v>
      </c>
      <c r="D83" s="54" t="s">
        <v>234</v>
      </c>
      <c r="E83" s="305" t="s">
        <v>43</v>
      </c>
      <c r="F83" s="69">
        <v>2568</v>
      </c>
      <c r="G83" s="362">
        <v>44.45</v>
      </c>
      <c r="H83" s="363">
        <v>0.17</v>
      </c>
      <c r="I83" s="524" t="str">
        <f t="shared" si="14"/>
        <v>R$ 0,00</v>
      </c>
      <c r="J83" s="187">
        <v>0.05</v>
      </c>
      <c r="K83" s="175">
        <f t="shared" si="12"/>
        <v>2439.6</v>
      </c>
      <c r="L83" s="377">
        <f t="shared" si="13"/>
        <v>1980.4179999999999</v>
      </c>
      <c r="M83" s="364" t="str">
        <f>SUMIFS(Vendas[Qtd], Vendas[Cód. do Produto], Precificação[[#This Row],[Cód. do Produto]], Vendas[Status], "Entregue") &amp; " unidade(s) vendida(s)"</f>
        <v>2 unidade(s) vendida(s)</v>
      </c>
      <c r="N83" s="373"/>
      <c r="O83" s="383"/>
      <c r="P83" s="383"/>
      <c r="Q83" s="383"/>
    </row>
    <row r="84" spans="1:17" s="229" customFormat="1" ht="27.75" customHeight="1" x14ac:dyDescent="0.25">
      <c r="A84" s="472" t="s">
        <v>7</v>
      </c>
      <c r="B84" s="37" t="s">
        <v>159</v>
      </c>
      <c r="C84" s="22" t="s">
        <v>68</v>
      </c>
      <c r="D84" s="22" t="s">
        <v>235</v>
      </c>
      <c r="E84" s="326" t="s">
        <v>69</v>
      </c>
      <c r="F84" s="69">
        <v>325</v>
      </c>
      <c r="G84" s="362">
        <v>22.45</v>
      </c>
      <c r="H84" s="363">
        <v>0.17</v>
      </c>
      <c r="I84" s="524" t="str">
        <f t="shared" si="14"/>
        <v>R$ 0,00</v>
      </c>
      <c r="J84" s="187">
        <v>0.14000000000000001</v>
      </c>
      <c r="K84" s="175">
        <f t="shared" si="12"/>
        <v>279.5</v>
      </c>
      <c r="L84" s="377">
        <f t="shared" si="13"/>
        <v>209.535</v>
      </c>
      <c r="M84" s="364" t="str">
        <f>SUMIFS(Vendas[Qtd], Vendas[Cód. do Produto], Precificação[[#This Row],[Cód. do Produto]], Vendas[Status], "Entregue") &amp; " unidade(s) vendida(s)"</f>
        <v>0 unidade(s) vendida(s)</v>
      </c>
      <c r="N84" s="373"/>
      <c r="O84" s="383"/>
      <c r="P84" s="383"/>
      <c r="Q84" s="383"/>
    </row>
    <row r="85" spans="1:17" s="229" customFormat="1" ht="27.75" customHeight="1" x14ac:dyDescent="0.25">
      <c r="A85" s="472" t="s">
        <v>7</v>
      </c>
      <c r="B85" s="37" t="s">
        <v>158</v>
      </c>
      <c r="C85" s="24" t="s">
        <v>161</v>
      </c>
      <c r="D85" s="24" t="s">
        <v>236</v>
      </c>
      <c r="E85" s="326" t="s">
        <v>160</v>
      </c>
      <c r="F85" s="69">
        <v>189.99</v>
      </c>
      <c r="G85" s="362">
        <v>21.1</v>
      </c>
      <c r="H85" s="363">
        <v>0.17</v>
      </c>
      <c r="I85" s="524" t="str">
        <f t="shared" si="14"/>
        <v>R$ 0,00</v>
      </c>
      <c r="J85" s="188"/>
      <c r="K85" s="175">
        <f t="shared" si="12"/>
        <v>189.99</v>
      </c>
      <c r="L85" s="377">
        <f t="shared" si="13"/>
        <v>136.5917</v>
      </c>
      <c r="M85" s="364" t="str">
        <f>SUMIFS(Vendas[Qtd], Vendas[Cód. do Produto], Precificação[[#This Row],[Cód. do Produto]], Vendas[Status], "Entregue") &amp; " unidade(s) vendida(s)"</f>
        <v>0 unidade(s) vendida(s)</v>
      </c>
      <c r="N85" s="373"/>
      <c r="O85" s="383"/>
      <c r="P85" s="383"/>
      <c r="Q85" s="383"/>
    </row>
    <row r="86" spans="1:17" s="229" customFormat="1" ht="27.75" customHeight="1" x14ac:dyDescent="0.25">
      <c r="A86" s="472" t="s">
        <v>7</v>
      </c>
      <c r="B86" s="37" t="s">
        <v>158</v>
      </c>
      <c r="C86" s="22" t="s">
        <v>70</v>
      </c>
      <c r="D86" s="22" t="s">
        <v>237</v>
      </c>
      <c r="E86" s="326" t="s">
        <v>71</v>
      </c>
      <c r="F86" s="69">
        <v>230</v>
      </c>
      <c r="G86" s="362">
        <v>24.95</v>
      </c>
      <c r="H86" s="363">
        <v>0.17</v>
      </c>
      <c r="I86" s="524" t="str">
        <f t="shared" si="14"/>
        <v>R$ 0,00</v>
      </c>
      <c r="J86" s="187">
        <v>0.09</v>
      </c>
      <c r="K86" s="175">
        <f t="shared" si="12"/>
        <v>209.3</v>
      </c>
      <c r="L86" s="377">
        <f t="shared" si="13"/>
        <v>148.76900000000001</v>
      </c>
      <c r="M86" s="364" t="str">
        <f>SUMIFS(Vendas[Qtd], Vendas[Cód. do Produto], Precificação[[#This Row],[Cód. do Produto]], Vendas[Status], "Entregue") &amp; " unidade(s) vendida(s)"</f>
        <v>0 unidade(s) vendida(s)</v>
      </c>
      <c r="N86" s="373"/>
      <c r="O86" s="383"/>
      <c r="P86" s="383"/>
      <c r="Q86" s="383"/>
    </row>
    <row r="87" spans="1:17" s="229" customFormat="1" ht="27.75" customHeight="1" x14ac:dyDescent="0.25">
      <c r="A87" s="471" t="s">
        <v>7</v>
      </c>
      <c r="B87" s="37" t="s">
        <v>158</v>
      </c>
      <c r="C87" s="22" t="s">
        <v>134</v>
      </c>
      <c r="D87" s="22" t="s">
        <v>223</v>
      </c>
      <c r="E87" s="326" t="s">
        <v>135</v>
      </c>
      <c r="F87" s="69">
        <v>389.99</v>
      </c>
      <c r="G87" s="362">
        <v>24.95</v>
      </c>
      <c r="H87" s="363">
        <v>0.17</v>
      </c>
      <c r="I87" s="524" t="str">
        <f t="shared" si="14"/>
        <v>R$ 0,00</v>
      </c>
      <c r="J87" s="188"/>
      <c r="K87" s="175">
        <f t="shared" si="12"/>
        <v>389.99</v>
      </c>
      <c r="L87" s="377">
        <f t="shared" si="13"/>
        <v>298.74169999999998</v>
      </c>
      <c r="M87" s="364" t="str">
        <f>SUMIFS(Vendas[Qtd], Vendas[Cód. do Produto], Precificação[[#This Row],[Cód. do Produto]], Vendas[Status], "Entregue") &amp; " unidade(s) vendida(s)"</f>
        <v>0 unidade(s) vendida(s)</v>
      </c>
      <c r="N87" s="373"/>
      <c r="O87" s="383"/>
      <c r="P87" s="383"/>
      <c r="Q87" s="383"/>
    </row>
    <row r="88" spans="1:17" s="229" customFormat="1" ht="33.75" x14ac:dyDescent="0.25">
      <c r="A88" s="470" t="s">
        <v>7</v>
      </c>
      <c r="B88" s="37" t="s">
        <v>158</v>
      </c>
      <c r="C88" s="24" t="s">
        <v>45</v>
      </c>
      <c r="D88" s="55" t="s">
        <v>238</v>
      </c>
      <c r="E88" s="305" t="s">
        <v>46</v>
      </c>
      <c r="F88" s="69">
        <v>49.99</v>
      </c>
      <c r="G88" s="362"/>
      <c r="H88" s="363">
        <v>0.12</v>
      </c>
      <c r="I88" s="524">
        <f t="shared" si="14"/>
        <v>6.5</v>
      </c>
      <c r="J88" s="187">
        <v>0.16</v>
      </c>
      <c r="K88" s="175">
        <f t="shared" si="12"/>
        <v>41.991599999999998</v>
      </c>
      <c r="L88" s="377">
        <f t="shared" si="13"/>
        <v>30.452607999999998</v>
      </c>
      <c r="M88" s="364" t="str">
        <f>SUMIFS(Vendas[Qtd], Vendas[Cód. do Produto], Precificação[[#This Row],[Cód. do Produto]], Vendas[Status], "Entregue") &amp; " unidade(s) vendida(s)"</f>
        <v>0 unidade(s) vendida(s)</v>
      </c>
      <c r="N88" s="373"/>
      <c r="O88" s="383"/>
      <c r="P88" s="383"/>
      <c r="Q88" s="383"/>
    </row>
    <row r="89" spans="1:17" s="229" customFormat="1" ht="27.75" customHeight="1" x14ac:dyDescent="0.25">
      <c r="A89" s="472" t="s">
        <v>7</v>
      </c>
      <c r="B89" s="37" t="s">
        <v>158</v>
      </c>
      <c r="C89" s="22" t="s">
        <v>66</v>
      </c>
      <c r="D89" s="22" t="s">
        <v>239</v>
      </c>
      <c r="E89" s="326" t="s">
        <v>67</v>
      </c>
      <c r="F89" s="69">
        <v>60</v>
      </c>
      <c r="G89" s="362"/>
      <c r="H89" s="363">
        <v>0.12</v>
      </c>
      <c r="I89" s="524">
        <f t="shared" si="14"/>
        <v>6.75</v>
      </c>
      <c r="J89" s="187">
        <v>0.15</v>
      </c>
      <c r="K89" s="175">
        <f t="shared" si="12"/>
        <v>51</v>
      </c>
      <c r="L89" s="377">
        <f t="shared" si="13"/>
        <v>38.130000000000003</v>
      </c>
      <c r="M89" s="364" t="str">
        <f>SUMIFS(Vendas[Qtd], Vendas[Cód. do Produto], Precificação[[#This Row],[Cód. do Produto]], Vendas[Status], "Entregue") &amp; " unidade(s) vendida(s)"</f>
        <v>0 unidade(s) vendida(s)</v>
      </c>
      <c r="N89" s="373"/>
      <c r="O89" s="383"/>
      <c r="P89" s="383"/>
      <c r="Q89" s="383"/>
    </row>
    <row r="90" spans="1:17" s="229" customFormat="1" ht="27.75" customHeight="1" x14ac:dyDescent="0.25">
      <c r="A90" s="470" t="s">
        <v>7</v>
      </c>
      <c r="B90" s="37" t="s">
        <v>158</v>
      </c>
      <c r="C90" s="24" t="s">
        <v>24</v>
      </c>
      <c r="D90" s="24" t="s">
        <v>240</v>
      </c>
      <c r="E90" s="305" t="s">
        <v>25</v>
      </c>
      <c r="F90" s="69">
        <v>45</v>
      </c>
      <c r="G90" s="362"/>
      <c r="H90" s="363">
        <v>0.12</v>
      </c>
      <c r="I90" s="524">
        <f t="shared" si="14"/>
        <v>6.5</v>
      </c>
      <c r="J90" s="187">
        <v>0.08</v>
      </c>
      <c r="K90" s="175">
        <f t="shared" si="12"/>
        <v>41.4</v>
      </c>
      <c r="L90" s="377">
        <f t="shared" si="13"/>
        <v>29.932000000000002</v>
      </c>
      <c r="M90" s="364" t="str">
        <f>SUMIFS(Vendas[Qtd], Vendas[Cód. do Produto], Precificação[[#This Row],[Cód. do Produto]], Vendas[Status], "Entregue") &amp; " unidade(s) vendida(s)"</f>
        <v>0 unidade(s) vendida(s)</v>
      </c>
      <c r="N90" s="373"/>
      <c r="O90" s="383"/>
      <c r="P90" s="383"/>
      <c r="Q90" s="383"/>
    </row>
    <row r="91" spans="1:17" s="229" customFormat="1" ht="27.75" customHeight="1" x14ac:dyDescent="0.25">
      <c r="A91" s="472" t="s">
        <v>7</v>
      </c>
      <c r="B91" s="37" t="s">
        <v>158</v>
      </c>
      <c r="C91" s="22" t="s">
        <v>56</v>
      </c>
      <c r="D91" s="22" t="s">
        <v>241</v>
      </c>
      <c r="E91" s="367" t="s">
        <v>55</v>
      </c>
      <c r="F91" s="69">
        <v>1700</v>
      </c>
      <c r="G91" s="362">
        <v>44.45</v>
      </c>
      <c r="H91" s="363">
        <v>0.17</v>
      </c>
      <c r="I91" s="524" t="str">
        <f t="shared" si="14"/>
        <v>R$ 0,00</v>
      </c>
      <c r="J91" s="187">
        <v>7.0000000000000007E-2</v>
      </c>
      <c r="K91" s="175">
        <f t="shared" si="12"/>
        <v>1581</v>
      </c>
      <c r="L91" s="377">
        <f t="shared" si="13"/>
        <v>1267.78</v>
      </c>
      <c r="M91" s="364" t="str">
        <f>SUMIFS(Vendas[Qtd], Vendas[Cód. do Produto], Precificação[[#This Row],[Cód. do Produto]], Vendas[Status], "Entregue") &amp; " unidade(s) vendida(s)"</f>
        <v>0 unidade(s) vendida(s)</v>
      </c>
      <c r="N91" s="373"/>
      <c r="O91" s="383"/>
      <c r="P91" s="383"/>
      <c r="Q91" s="383"/>
    </row>
    <row r="92" spans="1:17" s="229" customFormat="1" ht="27.75" customHeight="1" x14ac:dyDescent="0.25">
      <c r="A92" s="472" t="s">
        <v>7</v>
      </c>
      <c r="B92" s="37" t="s">
        <v>158</v>
      </c>
      <c r="C92" s="22" t="s">
        <v>80</v>
      </c>
      <c r="D92" s="22" t="s">
        <v>242</v>
      </c>
      <c r="E92" s="326" t="s">
        <v>81</v>
      </c>
      <c r="F92" s="69">
        <v>449.99</v>
      </c>
      <c r="G92" s="362">
        <v>26.95</v>
      </c>
      <c r="H92" s="363">
        <v>0.17</v>
      </c>
      <c r="I92" s="524" t="str">
        <f t="shared" si="14"/>
        <v>R$ 0,00</v>
      </c>
      <c r="J92" s="188"/>
      <c r="K92" s="175">
        <f t="shared" si="12"/>
        <v>449.99</v>
      </c>
      <c r="L92" s="377">
        <f t="shared" si="13"/>
        <v>346.54169999999999</v>
      </c>
      <c r="M92" s="364" t="str">
        <f>SUMIFS(Vendas[Qtd], Vendas[Cód. do Produto], Precificação[[#This Row],[Cód. do Produto]], Vendas[Status], "Entregue") &amp; " unidade(s) vendida(s)"</f>
        <v>0 unidade(s) vendida(s)</v>
      </c>
      <c r="N92" s="373"/>
      <c r="O92" s="383"/>
      <c r="P92" s="383"/>
      <c r="Q92" s="383"/>
    </row>
    <row r="93" spans="1:17" s="229" customFormat="1" ht="27.75" customHeight="1" x14ac:dyDescent="0.25">
      <c r="A93" s="472" t="s">
        <v>7</v>
      </c>
      <c r="B93" s="37" t="s">
        <v>158</v>
      </c>
      <c r="C93" s="22" t="s">
        <v>78</v>
      </c>
      <c r="D93" s="22" t="s">
        <v>243</v>
      </c>
      <c r="E93" s="326" t="s">
        <v>79</v>
      </c>
      <c r="F93" s="69">
        <v>1579.99</v>
      </c>
      <c r="G93" s="362">
        <v>65.95</v>
      </c>
      <c r="H93" s="363">
        <v>0.17</v>
      </c>
      <c r="I93" s="524" t="str">
        <f t="shared" si="14"/>
        <v>R$ 0,00</v>
      </c>
      <c r="J93" s="188"/>
      <c r="K93" s="175">
        <f t="shared" si="12"/>
        <v>1579.99</v>
      </c>
      <c r="L93" s="377">
        <f t="shared" si="13"/>
        <v>1245.4416999999999</v>
      </c>
      <c r="M93" s="364" t="str">
        <f>SUMIFS(Vendas[Qtd], Vendas[Cód. do Produto], Precificação[[#This Row],[Cód. do Produto]], Vendas[Status], "Entregue") &amp; " unidade(s) vendida(s)"</f>
        <v>1 unidade(s) vendida(s)</v>
      </c>
      <c r="N93" s="373"/>
      <c r="O93" s="383"/>
      <c r="P93" s="383"/>
      <c r="Q93" s="383"/>
    </row>
    <row r="94" spans="1:17" s="229" customFormat="1" ht="27.75" customHeight="1" x14ac:dyDescent="0.25">
      <c r="A94" s="471" t="s">
        <v>7</v>
      </c>
      <c r="B94" s="37" t="s">
        <v>158</v>
      </c>
      <c r="C94" s="22" t="s">
        <v>101</v>
      </c>
      <c r="D94" s="22" t="s">
        <v>223</v>
      </c>
      <c r="E94" s="326" t="s">
        <v>102</v>
      </c>
      <c r="F94" s="69">
        <v>42</v>
      </c>
      <c r="G94" s="362"/>
      <c r="H94" s="363">
        <v>0.12</v>
      </c>
      <c r="I94" s="524">
        <f t="shared" si="14"/>
        <v>6.5</v>
      </c>
      <c r="J94" s="188"/>
      <c r="K94" s="175">
        <f t="shared" si="12"/>
        <v>42</v>
      </c>
      <c r="L94" s="377">
        <f t="shared" si="13"/>
        <v>30.46</v>
      </c>
      <c r="M94" s="364" t="str">
        <f>SUMIFS(Vendas[Qtd], Vendas[Cód. do Produto], Precificação[[#This Row],[Cód. do Produto]], Vendas[Status], "Entregue") &amp; " unidade(s) vendida(s)"</f>
        <v>0 unidade(s) vendida(s)</v>
      </c>
      <c r="N94" s="373"/>
      <c r="O94" s="383"/>
      <c r="P94" s="383"/>
      <c r="Q94" s="383"/>
    </row>
    <row r="95" spans="1:17" s="229" customFormat="1" ht="27.75" customHeight="1" x14ac:dyDescent="0.25">
      <c r="A95" s="472" t="s">
        <v>7</v>
      </c>
      <c r="B95" s="37" t="s">
        <v>158</v>
      </c>
      <c r="C95" s="22" t="s">
        <v>89</v>
      </c>
      <c r="D95" s="22" t="s">
        <v>244</v>
      </c>
      <c r="E95" s="326" t="s">
        <v>90</v>
      </c>
      <c r="F95" s="69">
        <v>436.99</v>
      </c>
      <c r="G95" s="362">
        <v>21.45</v>
      </c>
      <c r="H95" s="363">
        <v>0.17</v>
      </c>
      <c r="I95" s="524" t="str">
        <f t="shared" si="14"/>
        <v>R$ 0,00</v>
      </c>
      <c r="J95" s="188"/>
      <c r="K95" s="175">
        <f t="shared" si="12"/>
        <v>436.99</v>
      </c>
      <c r="L95" s="377">
        <f t="shared" si="13"/>
        <v>341.25170000000003</v>
      </c>
      <c r="M95" s="364" t="str">
        <f>SUMIFS(Vendas[Qtd], Vendas[Cód. do Produto], Precificação[[#This Row],[Cód. do Produto]], Vendas[Status], "Entregue") &amp; " unidade(s) vendida(s)"</f>
        <v>0 unidade(s) vendida(s)</v>
      </c>
      <c r="N95" s="373"/>
      <c r="O95" s="383"/>
      <c r="P95" s="383"/>
      <c r="Q95" s="383"/>
    </row>
    <row r="96" spans="1:17" s="229" customFormat="1" ht="27.75" customHeight="1" x14ac:dyDescent="0.25">
      <c r="A96" s="472" t="s">
        <v>7</v>
      </c>
      <c r="B96" s="37" t="s">
        <v>158</v>
      </c>
      <c r="C96" s="22" t="s">
        <v>82</v>
      </c>
      <c r="D96" s="22" t="s">
        <v>245</v>
      </c>
      <c r="E96" s="326" t="s">
        <v>83</v>
      </c>
      <c r="F96" s="69">
        <v>1240</v>
      </c>
      <c r="G96" s="362">
        <v>44.45</v>
      </c>
      <c r="H96" s="363">
        <v>0.17</v>
      </c>
      <c r="I96" s="524" t="str">
        <f t="shared" si="14"/>
        <v>R$ 0,00</v>
      </c>
      <c r="J96" s="188"/>
      <c r="K96" s="175">
        <f t="shared" si="12"/>
        <v>1240</v>
      </c>
      <c r="L96" s="377">
        <f t="shared" si="13"/>
        <v>984.75</v>
      </c>
      <c r="M96" s="364" t="str">
        <f>SUMIFS(Vendas[Qtd], Vendas[Cód. do Produto], Precificação[[#This Row],[Cód. do Produto]], Vendas[Status], "Entregue") &amp; " unidade(s) vendida(s)"</f>
        <v>0 unidade(s) vendida(s)</v>
      </c>
      <c r="N96" s="373"/>
      <c r="O96" s="383"/>
      <c r="P96" s="383"/>
      <c r="Q96" s="383"/>
    </row>
    <row r="97" spans="1:17" s="229" customFormat="1" ht="27.75" customHeight="1" x14ac:dyDescent="0.25">
      <c r="A97" s="470" t="s">
        <v>7</v>
      </c>
      <c r="B97" s="37" t="s">
        <v>158</v>
      </c>
      <c r="C97" s="24" t="s">
        <v>1309</v>
      </c>
      <c r="D97" s="24" t="s">
        <v>246</v>
      </c>
      <c r="E97" s="305" t="s">
        <v>15</v>
      </c>
      <c r="F97" s="69">
        <v>155</v>
      </c>
      <c r="G97" s="362">
        <v>13.47</v>
      </c>
      <c r="H97" s="363">
        <v>0.12</v>
      </c>
      <c r="I97" s="524" t="str">
        <f t="shared" si="14"/>
        <v>R$ 0,00</v>
      </c>
      <c r="J97" s="187">
        <v>0.4</v>
      </c>
      <c r="K97" s="175">
        <f t="shared" si="12"/>
        <v>93</v>
      </c>
      <c r="L97" s="377">
        <f t="shared" si="13"/>
        <v>68.37</v>
      </c>
      <c r="M97" s="364" t="str">
        <f>SUMIFS(Vendas[Qtd], Vendas[Cód. do Produto], Precificação[[#This Row],[Cód. do Produto]], Vendas[Status], "Entregue") &amp; " unidade(s) vendida(s)"</f>
        <v>4 unidade(s) vendida(s)</v>
      </c>
      <c r="N97" s="373"/>
      <c r="O97" s="383"/>
      <c r="P97" s="383"/>
      <c r="Q97" s="383"/>
    </row>
    <row r="98" spans="1:17" s="229" customFormat="1" ht="27.75" customHeight="1" x14ac:dyDescent="0.25">
      <c r="A98" s="472" t="s">
        <v>7</v>
      </c>
      <c r="B98" s="37" t="s">
        <v>158</v>
      </c>
      <c r="C98" s="22" t="s">
        <v>77</v>
      </c>
      <c r="D98" s="22" t="s">
        <v>221</v>
      </c>
      <c r="E98" s="326" t="s">
        <v>281</v>
      </c>
      <c r="F98" s="69">
        <v>420</v>
      </c>
      <c r="G98" s="362">
        <v>65.95</v>
      </c>
      <c r="H98" s="363">
        <v>0.17</v>
      </c>
      <c r="I98" s="524" t="str">
        <f t="shared" si="14"/>
        <v>R$ 0,00</v>
      </c>
      <c r="J98" s="188"/>
      <c r="K98" s="175">
        <f t="shared" si="12"/>
        <v>420</v>
      </c>
      <c r="L98" s="377">
        <f t="shared" si="13"/>
        <v>282.64999999999998</v>
      </c>
      <c r="M98" s="364" t="str">
        <f>SUMIFS(Vendas[Qtd], Vendas[Cód. do Produto], Precificação[[#This Row],[Cód. do Produto]], Vendas[Status], "Entregue") &amp; " unidade(s) vendida(s)"</f>
        <v>0 unidade(s) vendida(s)</v>
      </c>
      <c r="N98" s="373"/>
      <c r="O98" s="383"/>
      <c r="P98" s="383"/>
      <c r="Q98" s="383"/>
    </row>
    <row r="99" spans="1:17" s="229" customFormat="1" ht="27.75" customHeight="1" x14ac:dyDescent="0.25">
      <c r="A99" s="471" t="s">
        <v>7</v>
      </c>
      <c r="B99" s="37" t="s">
        <v>158</v>
      </c>
      <c r="C99" s="22" t="s">
        <v>126</v>
      </c>
      <c r="D99" s="22" t="s">
        <v>247</v>
      </c>
      <c r="E99" s="326" t="s">
        <v>127</v>
      </c>
      <c r="F99" s="69">
        <v>420</v>
      </c>
      <c r="G99" s="362">
        <v>24.95</v>
      </c>
      <c r="H99" s="363">
        <v>0.17</v>
      </c>
      <c r="I99" s="524" t="str">
        <f t="shared" si="14"/>
        <v>R$ 0,00</v>
      </c>
      <c r="J99" s="188"/>
      <c r="K99" s="175">
        <f t="shared" si="12"/>
        <v>420</v>
      </c>
      <c r="L99" s="377">
        <f t="shared" si="13"/>
        <v>323.64999999999998</v>
      </c>
      <c r="M99" s="364" t="str">
        <f>SUMIFS(Vendas[Qtd], Vendas[Cód. do Produto], Precificação[[#This Row],[Cód. do Produto]], Vendas[Status], "Entregue") &amp; " unidade(s) vendida(s)"</f>
        <v>0 unidade(s) vendida(s)</v>
      </c>
      <c r="N99" s="373"/>
      <c r="O99" s="383"/>
      <c r="P99" s="383"/>
      <c r="Q99" s="383"/>
    </row>
    <row r="100" spans="1:17" s="229" customFormat="1" ht="27.75" customHeight="1" x14ac:dyDescent="0.25">
      <c r="A100" s="471" t="s">
        <v>7</v>
      </c>
      <c r="B100" s="37" t="s">
        <v>158</v>
      </c>
      <c r="C100" s="22" t="s">
        <v>128</v>
      </c>
      <c r="D100" s="22" t="s">
        <v>446</v>
      </c>
      <c r="E100" s="326" t="s">
        <v>129</v>
      </c>
      <c r="F100" s="69">
        <v>440</v>
      </c>
      <c r="G100" s="362">
        <v>44.45</v>
      </c>
      <c r="H100" s="363">
        <v>0.17</v>
      </c>
      <c r="I100" s="524" t="str">
        <f t="shared" si="14"/>
        <v>R$ 0,00</v>
      </c>
      <c r="J100" s="188"/>
      <c r="K100" s="175">
        <f t="shared" si="12"/>
        <v>440</v>
      </c>
      <c r="L100" s="377">
        <f t="shared" si="13"/>
        <v>320.75</v>
      </c>
      <c r="M100" s="364" t="str">
        <f>SUMIFS(Vendas[Qtd], Vendas[Cód. do Produto], Precificação[[#This Row],[Cód. do Produto]], Vendas[Status], "Entregue") &amp; " unidade(s) vendida(s)"</f>
        <v>0 unidade(s) vendida(s)</v>
      </c>
      <c r="N100" s="373"/>
      <c r="O100" s="383"/>
      <c r="P100" s="383"/>
      <c r="Q100" s="383"/>
    </row>
    <row r="101" spans="1:17" s="229" customFormat="1" ht="27.75" customHeight="1" x14ac:dyDescent="0.25">
      <c r="A101" s="470" t="s">
        <v>7</v>
      </c>
      <c r="B101" s="37" t="s">
        <v>158</v>
      </c>
      <c r="C101" s="24" t="s">
        <v>32</v>
      </c>
      <c r="D101" s="24" t="s">
        <v>240</v>
      </c>
      <c r="E101" s="305" t="s">
        <v>33</v>
      </c>
      <c r="F101" s="69">
        <v>109.99</v>
      </c>
      <c r="G101" s="362">
        <v>11.97</v>
      </c>
      <c r="H101" s="363">
        <v>0.17</v>
      </c>
      <c r="I101" s="524" t="str">
        <f t="shared" si="14"/>
        <v>R$ 0,00</v>
      </c>
      <c r="J101" s="187">
        <v>0.1</v>
      </c>
      <c r="K101" s="175">
        <f t="shared" ref="K101:K129" si="15">IF(J101="",F101,F101*(1-J101))</f>
        <v>98.991</v>
      </c>
      <c r="L101" s="377">
        <f t="shared" ref="L101:L129" si="16">K101*(1-H101)-G101-I101</f>
        <v>70.192529999999991</v>
      </c>
      <c r="M101" s="364" t="str">
        <f>SUMIFS(Vendas[Qtd], Vendas[Cód. do Produto], Precificação[[#This Row],[Cód. do Produto]], Vendas[Status], "Entregue") &amp; " unidade(s) vendida(s)"</f>
        <v>0 unidade(s) vendida(s)</v>
      </c>
      <c r="N101" s="373"/>
      <c r="O101" s="383"/>
      <c r="P101" s="383"/>
      <c r="Q101" s="383"/>
    </row>
    <row r="102" spans="1:17" s="229" customFormat="1" ht="27.75" customHeight="1" x14ac:dyDescent="0.25">
      <c r="A102" s="470" t="s">
        <v>7</v>
      </c>
      <c r="B102" s="37" t="s">
        <v>158</v>
      </c>
      <c r="C102" s="24" t="s">
        <v>248</v>
      </c>
      <c r="D102" s="24" t="s">
        <v>239</v>
      </c>
      <c r="E102" s="305" t="s">
        <v>44</v>
      </c>
      <c r="F102" s="69">
        <v>50</v>
      </c>
      <c r="G102" s="362"/>
      <c r="H102" s="363">
        <v>0.12</v>
      </c>
      <c r="I102" s="524">
        <f t="shared" si="14"/>
        <v>6.5</v>
      </c>
      <c r="J102" s="187">
        <v>0.21</v>
      </c>
      <c r="K102" s="175">
        <f t="shared" si="15"/>
        <v>39.5</v>
      </c>
      <c r="L102" s="377">
        <f t="shared" si="16"/>
        <v>28.259999999999998</v>
      </c>
      <c r="M102" s="364" t="str">
        <f>SUMIFS(Vendas[Qtd], Vendas[Cód. do Produto], Precificação[[#This Row],[Cód. do Produto]], Vendas[Status], "Entregue") &amp; " unidade(s) vendida(s)"</f>
        <v>0 unidade(s) vendida(s)</v>
      </c>
      <c r="N102" s="373"/>
      <c r="O102" s="383"/>
      <c r="P102" s="383"/>
      <c r="Q102" s="383"/>
    </row>
    <row r="103" spans="1:17" s="229" customFormat="1" ht="27.75" customHeight="1" x14ac:dyDescent="0.25">
      <c r="A103" s="470" t="s">
        <v>7</v>
      </c>
      <c r="B103" s="37" t="s">
        <v>158</v>
      </c>
      <c r="C103" s="24" t="s">
        <v>1757</v>
      </c>
      <c r="D103" s="24" t="s">
        <v>249</v>
      </c>
      <c r="E103" s="305" t="s">
        <v>37</v>
      </c>
      <c r="F103" s="69">
        <v>5200</v>
      </c>
      <c r="G103" s="362">
        <v>44.45</v>
      </c>
      <c r="H103" s="363">
        <v>0.17</v>
      </c>
      <c r="I103" s="524" t="str">
        <f t="shared" si="14"/>
        <v>R$ 0,00</v>
      </c>
      <c r="J103" s="187">
        <v>0.3</v>
      </c>
      <c r="K103" s="175">
        <f t="shared" si="15"/>
        <v>3639.9999999999995</v>
      </c>
      <c r="L103" s="377">
        <f t="shared" si="16"/>
        <v>2976.7499999999995</v>
      </c>
      <c r="M103" s="364" t="str">
        <f>SUMIFS(Vendas[Qtd], Vendas[Cód. do Produto], Precificação[[#This Row],[Cód. do Produto]], Vendas[Status], "Entregue") &amp; " unidade(s) vendida(s)"</f>
        <v>0 unidade(s) vendida(s)</v>
      </c>
      <c r="N103" s="373"/>
      <c r="O103" s="383"/>
      <c r="P103" s="383"/>
      <c r="Q103" s="383"/>
    </row>
    <row r="104" spans="1:17" s="229" customFormat="1" ht="27.75" customHeight="1" x14ac:dyDescent="0.25">
      <c r="A104" s="471" t="s">
        <v>7</v>
      </c>
      <c r="B104" s="37" t="s">
        <v>158</v>
      </c>
      <c r="C104" s="22" t="s">
        <v>1758</v>
      </c>
      <c r="D104" s="22" t="s">
        <v>250</v>
      </c>
      <c r="E104" s="326" t="s">
        <v>139</v>
      </c>
      <c r="F104" s="69">
        <v>279.8</v>
      </c>
      <c r="G104" s="362">
        <v>23.45</v>
      </c>
      <c r="H104" s="363">
        <v>0.17</v>
      </c>
      <c r="I104" s="524" t="str">
        <f t="shared" si="14"/>
        <v>R$ 0,00</v>
      </c>
      <c r="J104" s="188"/>
      <c r="K104" s="175">
        <f t="shared" si="15"/>
        <v>279.8</v>
      </c>
      <c r="L104" s="377">
        <f t="shared" si="16"/>
        <v>208.78400000000002</v>
      </c>
      <c r="M104" s="364" t="str">
        <f>SUMIFS(Vendas[Qtd], Vendas[Cód. do Produto], Precificação[[#This Row],[Cód. do Produto]], Vendas[Status], "Entregue") &amp; " unidade(s) vendida(s)"</f>
        <v>0 unidade(s) vendida(s)</v>
      </c>
      <c r="N104" s="373"/>
      <c r="O104" s="383"/>
      <c r="P104" s="383"/>
      <c r="Q104" s="383"/>
    </row>
    <row r="105" spans="1:17" s="229" customFormat="1" ht="27.75" customHeight="1" x14ac:dyDescent="0.25">
      <c r="A105" s="472" t="s">
        <v>7</v>
      </c>
      <c r="B105" s="37" t="s">
        <v>158</v>
      </c>
      <c r="C105" s="22" t="s">
        <v>154</v>
      </c>
      <c r="D105" s="22" t="s">
        <v>223</v>
      </c>
      <c r="E105" s="326" t="s">
        <v>155</v>
      </c>
      <c r="F105" s="69">
        <v>359.99</v>
      </c>
      <c r="G105" s="362">
        <v>28.45</v>
      </c>
      <c r="H105" s="363">
        <v>0.17</v>
      </c>
      <c r="I105" s="524" t="str">
        <f t="shared" si="14"/>
        <v>R$ 0,00</v>
      </c>
      <c r="J105" s="187">
        <v>0.35</v>
      </c>
      <c r="K105" s="175">
        <f t="shared" si="15"/>
        <v>233.99350000000001</v>
      </c>
      <c r="L105" s="377">
        <f t="shared" si="16"/>
        <v>165.76460500000002</v>
      </c>
      <c r="M105" s="364" t="str">
        <f>SUMIFS(Vendas[Qtd], Vendas[Cód. do Produto], Precificação[[#This Row],[Cód. do Produto]], Vendas[Status], "Entregue") &amp; " unidade(s) vendida(s)"</f>
        <v>0 unidade(s) vendida(s)</v>
      </c>
      <c r="N105" s="373"/>
      <c r="O105" s="383"/>
      <c r="P105" s="383"/>
      <c r="Q105" s="383"/>
    </row>
    <row r="106" spans="1:17" s="229" customFormat="1" ht="27.75" customHeight="1" x14ac:dyDescent="0.25">
      <c r="A106" s="471" t="s">
        <v>7</v>
      </c>
      <c r="B106" s="37" t="s">
        <v>159</v>
      </c>
      <c r="C106" s="22" t="s">
        <v>150</v>
      </c>
      <c r="D106" s="22" t="s">
        <v>251</v>
      </c>
      <c r="E106" s="326" t="s">
        <v>151</v>
      </c>
      <c r="F106" s="69">
        <v>35</v>
      </c>
      <c r="G106" s="362"/>
      <c r="H106" s="363">
        <v>0.12</v>
      </c>
      <c r="I106" s="524">
        <f t="shared" si="14"/>
        <v>6.5</v>
      </c>
      <c r="J106" s="188"/>
      <c r="K106" s="175">
        <f t="shared" si="15"/>
        <v>35</v>
      </c>
      <c r="L106" s="377">
        <f t="shared" si="16"/>
        <v>24.3</v>
      </c>
      <c r="M106" s="364" t="str">
        <f>SUMIFS(Vendas[Qtd], Vendas[Cód. do Produto], Precificação[[#This Row],[Cód. do Produto]], Vendas[Status], "Entregue") &amp; " unidade(s) vendida(s)"</f>
        <v>0 unidade(s) vendida(s)</v>
      </c>
      <c r="N106" s="375"/>
      <c r="O106" s="386"/>
      <c r="P106" s="386"/>
      <c r="Q106" s="386"/>
    </row>
    <row r="107" spans="1:17" s="229" customFormat="1" ht="27.75" customHeight="1" x14ac:dyDescent="0.25">
      <c r="A107" s="472" t="s">
        <v>7</v>
      </c>
      <c r="B107" s="37" t="s">
        <v>159</v>
      </c>
      <c r="C107" s="22" t="s">
        <v>153</v>
      </c>
      <c r="D107" s="22" t="s">
        <v>252</v>
      </c>
      <c r="E107" s="326" t="s">
        <v>152</v>
      </c>
      <c r="F107" s="69">
        <v>1865.6</v>
      </c>
      <c r="G107" s="362"/>
      <c r="H107" s="363">
        <v>0.17</v>
      </c>
      <c r="I107" s="524">
        <f t="shared" si="14"/>
        <v>0</v>
      </c>
      <c r="J107" s="188"/>
      <c r="K107" s="175">
        <f t="shared" si="15"/>
        <v>1865.6</v>
      </c>
      <c r="L107" s="377">
        <f t="shared" si="16"/>
        <v>1548.4479999999999</v>
      </c>
      <c r="M107" s="364" t="str">
        <f>SUMIFS(Vendas[Qtd], Vendas[Cód. do Produto], Precificação[[#This Row],[Cód. do Produto]], Vendas[Status], "Entregue") &amp; " unidade(s) vendida(s)"</f>
        <v>1 unidade(s) vendida(s)</v>
      </c>
      <c r="N107" s="387"/>
      <c r="O107" s="383"/>
      <c r="P107" s="383"/>
      <c r="Q107" s="383"/>
    </row>
    <row r="108" spans="1:17" s="229" customFormat="1" ht="27.75" customHeight="1" x14ac:dyDescent="0.25">
      <c r="A108" s="470" t="s">
        <v>7</v>
      </c>
      <c r="B108" s="37" t="s">
        <v>158</v>
      </c>
      <c r="C108" s="24" t="s">
        <v>10</v>
      </c>
      <c r="D108" s="24" t="s">
        <v>253</v>
      </c>
      <c r="E108" s="305" t="s">
        <v>11</v>
      </c>
      <c r="F108" s="69">
        <v>250</v>
      </c>
      <c r="G108" s="362">
        <v>22.45</v>
      </c>
      <c r="H108" s="363">
        <v>0.17</v>
      </c>
      <c r="I108" s="524" t="str">
        <f t="shared" si="14"/>
        <v>R$ 0,00</v>
      </c>
      <c r="J108" s="187">
        <v>0.09</v>
      </c>
      <c r="K108" s="175">
        <f t="shared" si="15"/>
        <v>227.5</v>
      </c>
      <c r="L108" s="377">
        <f t="shared" si="16"/>
        <v>166.375</v>
      </c>
      <c r="M108" s="364" t="str">
        <f>SUMIFS(Vendas[Qtd], Vendas[Cód. do Produto], Precificação[[#This Row],[Cód. do Produto]], Vendas[Status], "Entregue") &amp; " unidade(s) vendida(s)"</f>
        <v>4 unidade(s) vendida(s)</v>
      </c>
      <c r="N108" s="387"/>
      <c r="O108" s="383"/>
      <c r="P108" s="383"/>
      <c r="Q108" s="383"/>
    </row>
    <row r="109" spans="1:17" s="229" customFormat="1" ht="27.75" customHeight="1" x14ac:dyDescent="0.25">
      <c r="A109" s="470" t="s">
        <v>7</v>
      </c>
      <c r="B109" s="37" t="s">
        <v>158</v>
      </c>
      <c r="C109" s="24" t="s">
        <v>34</v>
      </c>
      <c r="D109" s="24" t="s">
        <v>254</v>
      </c>
      <c r="E109" s="305" t="s">
        <v>35</v>
      </c>
      <c r="F109" s="69">
        <v>250</v>
      </c>
      <c r="G109" s="362">
        <v>22.45</v>
      </c>
      <c r="H109" s="363">
        <v>0.17</v>
      </c>
      <c r="I109" s="524" t="str">
        <f t="shared" si="14"/>
        <v>R$ 0,00</v>
      </c>
      <c r="J109" s="187">
        <v>0.09</v>
      </c>
      <c r="K109" s="175">
        <f t="shared" si="15"/>
        <v>227.5</v>
      </c>
      <c r="L109" s="377">
        <f t="shared" si="16"/>
        <v>166.375</v>
      </c>
      <c r="M109" s="364" t="str">
        <f>SUMIFS(Vendas[Qtd], Vendas[Cód. do Produto], Precificação[[#This Row],[Cód. do Produto]], Vendas[Status], "Entregue") &amp; " unidade(s) vendida(s)"</f>
        <v>1 unidade(s) vendida(s)</v>
      </c>
      <c r="N109" s="387"/>
      <c r="O109" s="383"/>
      <c r="P109" s="383"/>
      <c r="Q109" s="383"/>
    </row>
    <row r="110" spans="1:17" s="229" customFormat="1" ht="27.75" customHeight="1" thickBot="1" x14ac:dyDescent="0.3">
      <c r="A110" s="471" t="s">
        <v>7</v>
      </c>
      <c r="B110" s="37" t="s">
        <v>158</v>
      </c>
      <c r="C110" s="22" t="s">
        <v>110</v>
      </c>
      <c r="D110" s="22" t="s">
        <v>255</v>
      </c>
      <c r="E110" s="326" t="s">
        <v>111</v>
      </c>
      <c r="F110" s="69">
        <v>1079.99</v>
      </c>
      <c r="G110" s="362">
        <v>44.45</v>
      </c>
      <c r="H110" s="363">
        <v>0.17</v>
      </c>
      <c r="I110" s="524" t="str">
        <f t="shared" si="14"/>
        <v>R$ 0,00</v>
      </c>
      <c r="J110" s="188"/>
      <c r="K110" s="175">
        <f t="shared" si="15"/>
        <v>1079.99</v>
      </c>
      <c r="L110" s="377">
        <f t="shared" si="16"/>
        <v>851.94169999999997</v>
      </c>
      <c r="M110" s="364" t="str">
        <f>SUMIFS(Vendas[Qtd], Vendas[Cód. do Produto], Precificação[[#This Row],[Cód. do Produto]], Vendas[Status], "Entregue") &amp; " unidade(s) vendida(s)"</f>
        <v>0 unidade(s) vendida(s)</v>
      </c>
      <c r="N110" s="388"/>
      <c r="O110" s="386"/>
      <c r="P110" s="386"/>
      <c r="Q110" s="386"/>
    </row>
    <row r="111" spans="1:17" s="229" customFormat="1" ht="27.75" customHeight="1" thickBot="1" x14ac:dyDescent="0.3">
      <c r="A111" s="511" t="s">
        <v>7</v>
      </c>
      <c r="B111" s="37" t="s">
        <v>158</v>
      </c>
      <c r="C111" s="510" t="s">
        <v>20</v>
      </c>
      <c r="D111" s="24" t="s">
        <v>256</v>
      </c>
      <c r="E111" s="305" t="s">
        <v>21</v>
      </c>
      <c r="F111" s="69">
        <v>391.5</v>
      </c>
      <c r="G111" s="362">
        <v>21.45</v>
      </c>
      <c r="H111" s="363">
        <v>0.17</v>
      </c>
      <c r="I111" s="524" t="str">
        <f t="shared" si="14"/>
        <v>R$ 0,00</v>
      </c>
      <c r="J111" s="187"/>
      <c r="K111" s="175">
        <f t="shared" si="15"/>
        <v>391.5</v>
      </c>
      <c r="L111" s="377">
        <f t="shared" si="16"/>
        <v>303.495</v>
      </c>
      <c r="M111" s="364" t="str">
        <f>SUMIFS(Vendas[Qtd], Vendas[Cód. do Produto], Precificação[[#This Row],[Cód. do Produto]], Vendas[Status], "Entregue") &amp; " unidade(s) vendida(s)"</f>
        <v>0 unidade(s) vendida(s)</v>
      </c>
      <c r="N111" s="389"/>
      <c r="O111" s="390"/>
      <c r="P111" s="390"/>
      <c r="Q111" s="390"/>
    </row>
    <row r="112" spans="1:17" s="229" customFormat="1" ht="27.75" customHeight="1" thickBot="1" x14ac:dyDescent="0.3">
      <c r="A112" s="472" t="s">
        <v>7</v>
      </c>
      <c r="B112" s="37" t="s">
        <v>158</v>
      </c>
      <c r="C112" s="22" t="s">
        <v>74</v>
      </c>
      <c r="D112" s="22" t="s">
        <v>257</v>
      </c>
      <c r="E112" s="326" t="s">
        <v>560</v>
      </c>
      <c r="F112" s="69">
        <v>29</v>
      </c>
      <c r="G112" s="362"/>
      <c r="H112" s="363">
        <v>0.17</v>
      </c>
      <c r="I112" s="524">
        <f t="shared" si="14"/>
        <v>6.5</v>
      </c>
      <c r="J112" s="188"/>
      <c r="K112" s="175">
        <f t="shared" si="15"/>
        <v>29</v>
      </c>
      <c r="L112" s="377">
        <f t="shared" si="16"/>
        <v>17.57</v>
      </c>
      <c r="M112" s="364" t="str">
        <f>SUMIFS(Vendas[Qtd], Vendas[Cód. do Produto], Precificação[[#This Row],[Cód. do Produto]], Vendas[Status], "Entregue") &amp; " unidade(s) vendida(s)"</f>
        <v>0 unidade(s) vendida(s)</v>
      </c>
      <c r="N112" s="389"/>
      <c r="O112" s="390"/>
      <c r="P112" s="390"/>
      <c r="Q112" s="390"/>
    </row>
    <row r="113" spans="1:17" s="229" customFormat="1" ht="27.75" customHeight="1" thickBot="1" x14ac:dyDescent="0.3">
      <c r="A113" s="472" t="s">
        <v>7</v>
      </c>
      <c r="B113" s="37" t="s">
        <v>158</v>
      </c>
      <c r="C113" s="22" t="s">
        <v>76</v>
      </c>
      <c r="D113" s="22" t="s">
        <v>258</v>
      </c>
      <c r="E113" s="326" t="s">
        <v>75</v>
      </c>
      <c r="F113" s="69">
        <v>62</v>
      </c>
      <c r="G113" s="362"/>
      <c r="H113" s="363">
        <v>0.17</v>
      </c>
      <c r="I113" s="524">
        <f t="shared" si="14"/>
        <v>6.75</v>
      </c>
      <c r="J113" s="188"/>
      <c r="K113" s="175">
        <f t="shared" si="15"/>
        <v>62</v>
      </c>
      <c r="L113" s="377">
        <f t="shared" si="16"/>
        <v>44.71</v>
      </c>
      <c r="M113" s="364" t="str">
        <f>SUMIFS(Vendas[Qtd], Vendas[Cód. do Produto], Precificação[[#This Row],[Cód. do Produto]], Vendas[Status], "Entregue") &amp; " unidade(s) vendida(s)"</f>
        <v>0 unidade(s) vendida(s)</v>
      </c>
      <c r="N113" s="389"/>
      <c r="O113" s="390"/>
      <c r="P113" s="390"/>
      <c r="Q113" s="390"/>
    </row>
    <row r="114" spans="1:17" s="229" customFormat="1" ht="27.75" customHeight="1" thickBot="1" x14ac:dyDescent="0.3">
      <c r="A114" s="471" t="s">
        <v>7</v>
      </c>
      <c r="B114" s="37" t="s">
        <v>158</v>
      </c>
      <c r="C114" s="22" t="s">
        <v>112</v>
      </c>
      <c r="D114" s="22" t="s">
        <v>259</v>
      </c>
      <c r="E114" s="326" t="s">
        <v>113</v>
      </c>
      <c r="F114" s="69">
        <v>86</v>
      </c>
      <c r="G114" s="362">
        <v>11.97</v>
      </c>
      <c r="H114" s="363">
        <v>0.12</v>
      </c>
      <c r="I114" s="524" t="str">
        <f t="shared" si="14"/>
        <v>R$ 0,00</v>
      </c>
      <c r="J114" s="187">
        <v>0.05</v>
      </c>
      <c r="K114" s="175">
        <f t="shared" si="15"/>
        <v>81.7</v>
      </c>
      <c r="L114" s="377">
        <f t="shared" si="16"/>
        <v>59.926000000000002</v>
      </c>
      <c r="M114" s="364" t="str">
        <f>SUMIFS(Vendas[Qtd], Vendas[Cód. do Produto], Precificação[[#This Row],[Cód. do Produto]], Vendas[Status], "Entregue") &amp; " unidade(s) vendida(s)"</f>
        <v>0 unidade(s) vendida(s)</v>
      </c>
      <c r="N114" s="389"/>
      <c r="O114" s="390"/>
      <c r="P114" s="390"/>
      <c r="Q114" s="391"/>
    </row>
    <row r="115" spans="1:17" s="229" customFormat="1" ht="27.75" customHeight="1" thickBot="1" x14ac:dyDescent="0.3">
      <c r="A115" s="472" t="s">
        <v>7</v>
      </c>
      <c r="B115" s="37" t="s">
        <v>158</v>
      </c>
      <c r="C115" s="22" t="s">
        <v>72</v>
      </c>
      <c r="D115" s="22" t="s">
        <v>260</v>
      </c>
      <c r="E115" s="326" t="s">
        <v>73</v>
      </c>
      <c r="F115" s="69">
        <v>50.99</v>
      </c>
      <c r="G115" s="362"/>
      <c r="H115" s="363">
        <v>0.17</v>
      </c>
      <c r="I115" s="524">
        <f t="shared" si="14"/>
        <v>6.75</v>
      </c>
      <c r="J115" s="188"/>
      <c r="K115" s="175">
        <f t="shared" si="15"/>
        <v>50.99</v>
      </c>
      <c r="L115" s="377">
        <f t="shared" si="16"/>
        <v>35.5717</v>
      </c>
      <c r="M115" s="364" t="str">
        <f>SUMIFS(Vendas[Qtd], Vendas[Cód. do Produto], Precificação[[#This Row],[Cód. do Produto]], Vendas[Status], "Entregue") &amp; " unidade(s) vendida(s)"</f>
        <v>0 unidade(s) vendida(s)</v>
      </c>
      <c r="N115" s="389"/>
      <c r="O115" s="390"/>
      <c r="P115" s="392"/>
      <c r="Q115" s="383"/>
    </row>
    <row r="116" spans="1:17" s="229" customFormat="1" ht="27.75" customHeight="1" thickBot="1" x14ac:dyDescent="0.3">
      <c r="A116" s="471" t="s">
        <v>7</v>
      </c>
      <c r="B116" s="37" t="s">
        <v>158</v>
      </c>
      <c r="C116" s="22" t="s">
        <v>136</v>
      </c>
      <c r="D116" s="22" t="s">
        <v>261</v>
      </c>
      <c r="E116" s="326" t="s">
        <v>137</v>
      </c>
      <c r="F116" s="69">
        <v>112.33</v>
      </c>
      <c r="G116" s="362">
        <v>16.41</v>
      </c>
      <c r="H116" s="363">
        <v>0.12</v>
      </c>
      <c r="I116" s="524" t="str">
        <f t="shared" si="14"/>
        <v>R$ 0,00</v>
      </c>
      <c r="J116" s="188"/>
      <c r="K116" s="175">
        <f t="shared" si="15"/>
        <v>112.33</v>
      </c>
      <c r="L116" s="377">
        <f t="shared" si="16"/>
        <v>82.440399999999997</v>
      </c>
      <c r="M116" s="364" t="str">
        <f>SUMIFS(Vendas[Qtd], Vendas[Cód. do Produto], Precificação[[#This Row],[Cód. do Produto]], Vendas[Status], "Entregue") &amp; " unidade(s) vendida(s)"</f>
        <v>1 unidade(s) vendida(s)</v>
      </c>
      <c r="N116" s="389"/>
      <c r="O116" s="390"/>
      <c r="P116" s="392"/>
      <c r="Q116" s="383"/>
    </row>
    <row r="117" spans="1:17" s="229" customFormat="1" ht="27.75" customHeight="1" thickBot="1" x14ac:dyDescent="0.3">
      <c r="A117" s="471" t="s">
        <v>7</v>
      </c>
      <c r="B117" s="37" t="s">
        <v>158</v>
      </c>
      <c r="C117" s="22" t="s">
        <v>114</v>
      </c>
      <c r="D117" s="22" t="s">
        <v>262</v>
      </c>
      <c r="E117" s="326" t="s">
        <v>115</v>
      </c>
      <c r="F117" s="69">
        <v>1599.99</v>
      </c>
      <c r="G117" s="362">
        <v>23.45</v>
      </c>
      <c r="H117" s="363">
        <v>0.17</v>
      </c>
      <c r="I117" s="524" t="str">
        <f t="shared" si="14"/>
        <v>R$ 0,00</v>
      </c>
      <c r="J117" s="188"/>
      <c r="K117" s="175">
        <f t="shared" si="15"/>
        <v>1599.99</v>
      </c>
      <c r="L117" s="377">
        <f t="shared" si="16"/>
        <v>1304.5417</v>
      </c>
      <c r="M117" s="364" t="str">
        <f>SUMIFS(Vendas[Qtd], Vendas[Cód. do Produto], Precificação[[#This Row],[Cód. do Produto]], Vendas[Status], "Entregue") &amp; " unidade(s) vendida(s)"</f>
        <v>1 unidade(s) vendida(s)</v>
      </c>
      <c r="N117" s="389"/>
      <c r="O117" s="390"/>
      <c r="P117" s="392"/>
      <c r="Q117" s="383"/>
    </row>
    <row r="118" spans="1:17" s="229" customFormat="1" ht="27.75" customHeight="1" thickBot="1" x14ac:dyDescent="0.3">
      <c r="A118" s="472" t="s">
        <v>7</v>
      </c>
      <c r="B118" s="37" t="s">
        <v>158</v>
      </c>
      <c r="C118" s="22" t="s">
        <v>84</v>
      </c>
      <c r="D118" s="22" t="s">
        <v>263</v>
      </c>
      <c r="E118" s="326" t="s">
        <v>85</v>
      </c>
      <c r="F118" s="69">
        <v>599.99</v>
      </c>
      <c r="G118" s="362"/>
      <c r="H118" s="363">
        <v>0.17</v>
      </c>
      <c r="I118" s="524">
        <f t="shared" si="14"/>
        <v>0</v>
      </c>
      <c r="J118" s="188"/>
      <c r="K118" s="175">
        <f t="shared" si="15"/>
        <v>599.99</v>
      </c>
      <c r="L118" s="377">
        <f t="shared" si="16"/>
        <v>497.99169999999998</v>
      </c>
      <c r="M118" s="364" t="str">
        <f>SUMIFS(Vendas[Qtd], Vendas[Cód. do Produto], Precificação[[#This Row],[Cód. do Produto]], Vendas[Status], "Entregue") &amp; " unidade(s) vendida(s)"</f>
        <v>0 unidade(s) vendida(s)</v>
      </c>
      <c r="N118" s="389"/>
      <c r="O118" s="390"/>
      <c r="P118" s="392"/>
      <c r="Q118" s="383"/>
    </row>
    <row r="119" spans="1:17" s="229" customFormat="1" ht="27.75" customHeight="1" thickBot="1" x14ac:dyDescent="0.3">
      <c r="A119" s="470" t="s">
        <v>7</v>
      </c>
      <c r="B119" s="37" t="s">
        <v>158</v>
      </c>
      <c r="C119" s="24" t="s">
        <v>52</v>
      </c>
      <c r="D119" s="24" t="s">
        <v>264</v>
      </c>
      <c r="E119" s="305" t="s">
        <v>53</v>
      </c>
      <c r="F119" s="69">
        <v>3250</v>
      </c>
      <c r="G119" s="362"/>
      <c r="H119" s="363">
        <v>0.17</v>
      </c>
      <c r="I119" s="524">
        <f t="shared" si="14"/>
        <v>0</v>
      </c>
      <c r="J119" s="187">
        <v>0.08</v>
      </c>
      <c r="K119" s="175">
        <f t="shared" si="15"/>
        <v>2990</v>
      </c>
      <c r="L119" s="377">
        <f t="shared" si="16"/>
        <v>2481.6999999999998</v>
      </c>
      <c r="M119" s="364" t="str">
        <f>SUMIFS(Vendas[Qtd], Vendas[Cód. do Produto], Precificação[[#This Row],[Cód. do Produto]], Vendas[Status], "Entregue") &amp; " unidade(s) vendida(s)"</f>
        <v>0 unidade(s) vendida(s)</v>
      </c>
      <c r="N119" s="389"/>
      <c r="O119" s="390"/>
      <c r="P119" s="392"/>
      <c r="Q119" s="383"/>
    </row>
    <row r="120" spans="1:17" s="229" customFormat="1" ht="27.75" customHeight="1" thickBot="1" x14ac:dyDescent="0.3">
      <c r="A120" s="470" t="s">
        <v>7</v>
      </c>
      <c r="B120" s="37" t="s">
        <v>158</v>
      </c>
      <c r="C120" s="24" t="s">
        <v>18</v>
      </c>
      <c r="D120" s="24" t="s">
        <v>265</v>
      </c>
      <c r="E120" s="305" t="s">
        <v>19</v>
      </c>
      <c r="F120" s="69">
        <v>850</v>
      </c>
      <c r="G120" s="362">
        <v>23.45</v>
      </c>
      <c r="H120" s="363">
        <v>0.17</v>
      </c>
      <c r="I120" s="524" t="str">
        <f t="shared" si="14"/>
        <v>R$ 0,00</v>
      </c>
      <c r="J120" s="187">
        <v>0.18</v>
      </c>
      <c r="K120" s="175">
        <f t="shared" si="15"/>
        <v>697</v>
      </c>
      <c r="L120" s="377">
        <f t="shared" si="16"/>
        <v>555.05999999999995</v>
      </c>
      <c r="M120" s="364" t="str">
        <f>SUMIFS(Vendas[Qtd], Vendas[Cód. do Produto], Precificação[[#This Row],[Cód. do Produto]], Vendas[Status], "Entregue") &amp; " unidade(s) vendida(s)"</f>
        <v>9 unidade(s) vendida(s)</v>
      </c>
      <c r="N120" s="389"/>
      <c r="O120" s="390"/>
      <c r="P120" s="392"/>
      <c r="Q120" s="383"/>
    </row>
    <row r="121" spans="1:17" s="229" customFormat="1" ht="27.75" customHeight="1" thickBot="1" x14ac:dyDescent="0.3">
      <c r="A121" s="470" t="s">
        <v>7</v>
      </c>
      <c r="B121" s="37" t="s">
        <v>158</v>
      </c>
      <c r="C121" s="24" t="s">
        <v>16</v>
      </c>
      <c r="D121" s="24" t="s">
        <v>266</v>
      </c>
      <c r="E121" s="305" t="s">
        <v>17</v>
      </c>
      <c r="F121" s="69">
        <v>700</v>
      </c>
      <c r="G121" s="362">
        <v>23.45</v>
      </c>
      <c r="H121" s="363">
        <v>0.17</v>
      </c>
      <c r="I121" s="524" t="str">
        <f t="shared" si="14"/>
        <v>R$ 0,00</v>
      </c>
      <c r="J121" s="187">
        <v>0.1</v>
      </c>
      <c r="K121" s="175">
        <f t="shared" si="15"/>
        <v>630</v>
      </c>
      <c r="L121" s="377">
        <f t="shared" si="16"/>
        <v>499.45</v>
      </c>
      <c r="M121" s="364" t="str">
        <f>SUMIFS(Vendas[Qtd], Vendas[Cód. do Produto], Precificação[[#This Row],[Cód. do Produto]], Vendas[Status], "Entregue") &amp; " unidade(s) vendida(s)"</f>
        <v>11 unidade(s) vendida(s)</v>
      </c>
      <c r="N121" s="389"/>
      <c r="O121" s="390"/>
      <c r="P121" s="392"/>
      <c r="Q121" s="383"/>
    </row>
    <row r="122" spans="1:17" s="229" customFormat="1" ht="27.75" customHeight="1" thickBot="1" x14ac:dyDescent="0.3">
      <c r="A122" s="472" t="s">
        <v>7</v>
      </c>
      <c r="B122" s="37" t="s">
        <v>158</v>
      </c>
      <c r="C122" s="22" t="s">
        <v>58</v>
      </c>
      <c r="D122" s="22" t="s">
        <v>267</v>
      </c>
      <c r="E122" s="326" t="s">
        <v>59</v>
      </c>
      <c r="F122" s="69">
        <v>1200</v>
      </c>
      <c r="G122" s="362"/>
      <c r="H122" s="363">
        <v>0.17</v>
      </c>
      <c r="I122" s="524">
        <f t="shared" si="14"/>
        <v>0</v>
      </c>
      <c r="J122" s="187">
        <v>0.21</v>
      </c>
      <c r="K122" s="175">
        <f t="shared" si="15"/>
        <v>948</v>
      </c>
      <c r="L122" s="377">
        <f t="shared" si="16"/>
        <v>786.83999999999992</v>
      </c>
      <c r="M122" s="364" t="str">
        <f>SUMIFS(Vendas[Qtd], Vendas[Cód. do Produto], Precificação[[#This Row],[Cód. do Produto]], Vendas[Status], "Entregue") &amp; " unidade(s) vendida(s)"</f>
        <v>0 unidade(s) vendida(s)</v>
      </c>
      <c r="N122" s="389"/>
      <c r="O122" s="390"/>
      <c r="P122" s="392"/>
      <c r="Q122" s="383"/>
    </row>
    <row r="123" spans="1:17" s="229" customFormat="1" ht="27.75" customHeight="1" thickBot="1" x14ac:dyDescent="0.3">
      <c r="A123" s="472" t="s">
        <v>7</v>
      </c>
      <c r="B123" s="37" t="s">
        <v>159</v>
      </c>
      <c r="C123" s="22" t="s">
        <v>282</v>
      </c>
      <c r="D123" s="22" t="s">
        <v>283</v>
      </c>
      <c r="E123" s="326" t="s">
        <v>284</v>
      </c>
      <c r="F123" s="69">
        <v>449.99</v>
      </c>
      <c r="G123" s="362"/>
      <c r="H123" s="363">
        <v>0.17</v>
      </c>
      <c r="I123" s="524">
        <f t="shared" si="14"/>
        <v>0</v>
      </c>
      <c r="J123" s="187"/>
      <c r="K123" s="175">
        <f t="shared" si="15"/>
        <v>449.99</v>
      </c>
      <c r="L123" s="377">
        <f t="shared" si="16"/>
        <v>373.49169999999998</v>
      </c>
      <c r="M123" s="364" t="str">
        <f>SUMIFS(Vendas[Qtd], Vendas[Cód. do Produto], Precificação[[#This Row],[Cód. do Produto]], Vendas[Status], "Entregue") &amp; " unidade(s) vendida(s)"</f>
        <v>0 unidade(s) vendida(s)</v>
      </c>
      <c r="N123" s="389"/>
      <c r="O123" s="390"/>
      <c r="P123" s="392"/>
      <c r="Q123" s="383"/>
    </row>
    <row r="124" spans="1:17" s="229" customFormat="1" ht="27.75" customHeight="1" thickBot="1" x14ac:dyDescent="0.3">
      <c r="A124" s="471" t="s">
        <v>7</v>
      </c>
      <c r="B124" s="37" t="s">
        <v>159</v>
      </c>
      <c r="C124" s="22" t="s">
        <v>116</v>
      </c>
      <c r="D124" s="22" t="s">
        <v>268</v>
      </c>
      <c r="E124" s="326" t="s">
        <v>117</v>
      </c>
      <c r="F124" s="69">
        <v>649.99</v>
      </c>
      <c r="G124" s="362">
        <v>178.95</v>
      </c>
      <c r="H124" s="363">
        <v>0.17</v>
      </c>
      <c r="I124" s="524" t="str">
        <f t="shared" si="14"/>
        <v>R$ 0,00</v>
      </c>
      <c r="J124" s="187">
        <v>0.36</v>
      </c>
      <c r="K124" s="175">
        <f t="shared" si="15"/>
        <v>415.99360000000001</v>
      </c>
      <c r="L124" s="377">
        <f t="shared" si="16"/>
        <v>166.32468799999998</v>
      </c>
      <c r="M124" s="364" t="str">
        <f>SUMIFS(Vendas[Qtd], Vendas[Cód. do Produto], Precificação[[#This Row],[Cód. do Produto]], Vendas[Status], "Entregue") &amp; " unidade(s) vendida(s)"</f>
        <v>12 unidade(s) vendida(s)</v>
      </c>
      <c r="N124" s="389"/>
      <c r="O124" s="390"/>
      <c r="P124" s="392"/>
      <c r="Q124" s="383"/>
    </row>
    <row r="125" spans="1:17" s="229" customFormat="1" ht="27.75" customHeight="1" thickBot="1" x14ac:dyDescent="0.3">
      <c r="A125" s="470" t="s">
        <v>7</v>
      </c>
      <c r="B125" s="37" t="s">
        <v>158</v>
      </c>
      <c r="C125" s="24" t="s">
        <v>51</v>
      </c>
      <c r="D125" s="24" t="s">
        <v>269</v>
      </c>
      <c r="E125" s="305" t="s">
        <v>50</v>
      </c>
      <c r="F125" s="69">
        <v>250</v>
      </c>
      <c r="G125" s="362">
        <v>21.1</v>
      </c>
      <c r="H125" s="363">
        <v>0.17</v>
      </c>
      <c r="I125" s="524" t="str">
        <f t="shared" si="14"/>
        <v>R$ 0,00</v>
      </c>
      <c r="J125" s="187">
        <v>0.24</v>
      </c>
      <c r="K125" s="175">
        <f t="shared" si="15"/>
        <v>190</v>
      </c>
      <c r="L125" s="377">
        <f t="shared" si="16"/>
        <v>136.6</v>
      </c>
      <c r="M125" s="364" t="str">
        <f>SUMIFS(Vendas[Qtd], Vendas[Cód. do Produto], Precificação[[#This Row],[Cód. do Produto]], Vendas[Status], "Entregue") &amp; " unidade(s) vendida(s)"</f>
        <v>0 unidade(s) vendida(s)</v>
      </c>
      <c r="N125" s="389"/>
      <c r="O125" s="390"/>
      <c r="P125" s="392"/>
      <c r="Q125" s="383"/>
    </row>
    <row r="126" spans="1:17" s="229" customFormat="1" ht="27.75" customHeight="1" thickBot="1" x14ac:dyDescent="0.3">
      <c r="A126" s="472" t="s">
        <v>7</v>
      </c>
      <c r="B126" s="37" t="s">
        <v>158</v>
      </c>
      <c r="C126" s="22" t="s">
        <v>60</v>
      </c>
      <c r="D126" s="22" t="s">
        <v>270</v>
      </c>
      <c r="E126" s="326" t="s">
        <v>61</v>
      </c>
      <c r="F126" s="69">
        <v>250</v>
      </c>
      <c r="G126" s="362">
        <v>21.1</v>
      </c>
      <c r="H126" s="363">
        <v>0.17</v>
      </c>
      <c r="I126" s="524" t="str">
        <f t="shared" si="14"/>
        <v>R$ 0,00</v>
      </c>
      <c r="J126" s="188">
        <v>0.24</v>
      </c>
      <c r="K126" s="175">
        <f t="shared" si="15"/>
        <v>190</v>
      </c>
      <c r="L126" s="377">
        <f t="shared" si="16"/>
        <v>136.6</v>
      </c>
      <c r="M126" s="364" t="str">
        <f>SUMIFS(Vendas[Qtd], Vendas[Cód. do Produto], Precificação[[#This Row],[Cód. do Produto]], Vendas[Status], "Entregue") &amp; " unidade(s) vendida(s)"</f>
        <v>3 unidade(s) vendida(s)</v>
      </c>
      <c r="N126" s="389"/>
      <c r="O126" s="390"/>
      <c r="P126" s="392"/>
      <c r="Q126" s="383"/>
    </row>
    <row r="127" spans="1:17" s="229" customFormat="1" ht="27.75" customHeight="1" thickBot="1" x14ac:dyDescent="0.3">
      <c r="A127" s="471" t="s">
        <v>7</v>
      </c>
      <c r="B127" s="37" t="s">
        <v>158</v>
      </c>
      <c r="C127" s="22" t="s">
        <v>140</v>
      </c>
      <c r="D127" s="22" t="s">
        <v>271</v>
      </c>
      <c r="E127" s="326" t="s">
        <v>141</v>
      </c>
      <c r="F127" s="69">
        <v>98</v>
      </c>
      <c r="G127" s="362">
        <v>12.87</v>
      </c>
      <c r="H127" s="363">
        <v>0.12</v>
      </c>
      <c r="I127" s="524" t="str">
        <f t="shared" si="14"/>
        <v>R$ 0,00</v>
      </c>
      <c r="J127" s="188"/>
      <c r="K127" s="175">
        <f t="shared" si="15"/>
        <v>98</v>
      </c>
      <c r="L127" s="377">
        <f t="shared" si="16"/>
        <v>73.36999999999999</v>
      </c>
      <c r="M127" s="364" t="str">
        <f>SUMIFS(Vendas[Qtd], Vendas[Cód. do Produto], Precificação[[#This Row],[Cód. do Produto]], Vendas[Status], "Entregue") &amp; " unidade(s) vendida(s)"</f>
        <v>0 unidade(s) vendida(s)</v>
      </c>
      <c r="N127" s="389"/>
      <c r="O127" s="390"/>
      <c r="P127" s="392"/>
      <c r="Q127" s="383"/>
    </row>
    <row r="128" spans="1:17" s="229" customFormat="1" ht="27.75" customHeight="1" thickBot="1" x14ac:dyDescent="0.3">
      <c r="A128" s="470" t="s">
        <v>7</v>
      </c>
      <c r="B128" s="37" t="s">
        <v>158</v>
      </c>
      <c r="C128" s="24" t="s">
        <v>12</v>
      </c>
      <c r="D128" s="24" t="s">
        <v>272</v>
      </c>
      <c r="E128" s="305" t="s">
        <v>13</v>
      </c>
      <c r="F128" s="69">
        <v>405</v>
      </c>
      <c r="G128" s="362">
        <v>21.45</v>
      </c>
      <c r="H128" s="363">
        <v>0.17</v>
      </c>
      <c r="I128" s="524" t="str">
        <f t="shared" si="14"/>
        <v>R$ 0,00</v>
      </c>
      <c r="J128" s="187">
        <v>0.06</v>
      </c>
      <c r="K128" s="175">
        <f t="shared" si="15"/>
        <v>380.7</v>
      </c>
      <c r="L128" s="377">
        <f t="shared" si="16"/>
        <v>294.53100000000001</v>
      </c>
      <c r="M128" s="364" t="str">
        <f>SUMIFS(Vendas[Qtd], Vendas[Cód. do Produto], Precificação[[#This Row],[Cód. do Produto]], Vendas[Status], "Entregue") &amp; " unidade(s) vendida(s)"</f>
        <v>2 unidade(s) vendida(s)</v>
      </c>
      <c r="N128" s="389"/>
      <c r="O128" s="390"/>
      <c r="P128" s="392"/>
      <c r="Q128" s="383"/>
    </row>
    <row r="129" spans="1:17" s="229" customFormat="1" ht="27.75" customHeight="1" thickBot="1" x14ac:dyDescent="0.3">
      <c r="A129" s="471" t="s">
        <v>7</v>
      </c>
      <c r="B129" s="37" t="s">
        <v>158</v>
      </c>
      <c r="C129" s="22" t="s">
        <v>103</v>
      </c>
      <c r="D129" s="22" t="s">
        <v>273</v>
      </c>
      <c r="E129" s="326" t="s">
        <v>104</v>
      </c>
      <c r="F129" s="69">
        <v>39.99</v>
      </c>
      <c r="G129" s="362"/>
      <c r="H129" s="363">
        <v>0.12</v>
      </c>
      <c r="I129" s="524">
        <f t="shared" si="14"/>
        <v>6.5</v>
      </c>
      <c r="J129" s="188"/>
      <c r="K129" s="175">
        <f t="shared" si="15"/>
        <v>39.99</v>
      </c>
      <c r="L129" s="377">
        <f t="shared" si="16"/>
        <v>28.691200000000002</v>
      </c>
      <c r="M129" s="364" t="str">
        <f>SUMIFS(Vendas[Qtd], Vendas[Cód. do Produto], Precificação[[#This Row],[Cód. do Produto]], Vendas[Status], "Entregue") &amp; " unidade(s) vendida(s)"</f>
        <v>3 unidade(s) vendida(s)</v>
      </c>
      <c r="N129" s="389"/>
      <c r="O129" s="390"/>
      <c r="P129" s="392"/>
      <c r="Q129" s="383"/>
    </row>
    <row r="130" spans="1:17" s="229" customFormat="1" ht="27.75" customHeight="1" thickBot="1" x14ac:dyDescent="0.3">
      <c r="A130" s="470" t="s">
        <v>7</v>
      </c>
      <c r="B130" s="37" t="s">
        <v>159</v>
      </c>
      <c r="C130" s="24" t="s">
        <v>40</v>
      </c>
      <c r="D130" s="24" t="s">
        <v>274</v>
      </c>
      <c r="E130" s="305" t="s">
        <v>41</v>
      </c>
      <c r="F130" s="69">
        <v>55</v>
      </c>
      <c r="G130" s="362"/>
      <c r="H130" s="363">
        <v>0.12</v>
      </c>
      <c r="I130" s="524">
        <f t="shared" si="14"/>
        <v>6.5</v>
      </c>
      <c r="J130" s="187">
        <v>0.32</v>
      </c>
      <c r="K130" s="175">
        <f t="shared" ref="K130:K151" si="17">IF(J130="",F130,F130*(1-J130))</f>
        <v>37.4</v>
      </c>
      <c r="L130" s="377">
        <f t="shared" ref="L130:L151" si="18">K130*(1-H130)-G130-I130</f>
        <v>26.411999999999999</v>
      </c>
      <c r="M130" s="364" t="str">
        <f>SUMIFS(Vendas[Qtd], Vendas[Cód. do Produto], Precificação[[#This Row],[Cód. do Produto]], Vendas[Status], "Entregue") &amp; " unidade(s) vendida(s)"</f>
        <v>4 unidade(s) vendida(s)</v>
      </c>
      <c r="N130" s="389"/>
      <c r="O130" s="390"/>
      <c r="P130" s="392"/>
      <c r="Q130" s="383"/>
    </row>
    <row r="131" spans="1:17" s="229" customFormat="1" ht="27.75" customHeight="1" thickBot="1" x14ac:dyDescent="0.3">
      <c r="A131" s="472" t="s">
        <v>7</v>
      </c>
      <c r="B131" s="37" t="s">
        <v>158</v>
      </c>
      <c r="C131" s="22" t="s">
        <v>64</v>
      </c>
      <c r="D131" s="22" t="s">
        <v>275</v>
      </c>
      <c r="E131" s="326" t="s">
        <v>65</v>
      </c>
      <c r="F131" s="69">
        <v>379.99</v>
      </c>
      <c r="G131" s="362">
        <v>23.45</v>
      </c>
      <c r="H131" s="363">
        <v>0.17</v>
      </c>
      <c r="I131" s="524" t="str">
        <f t="shared" si="14"/>
        <v>R$ 0,00</v>
      </c>
      <c r="J131" s="188"/>
      <c r="K131" s="175">
        <f t="shared" si="17"/>
        <v>379.99</v>
      </c>
      <c r="L131" s="377">
        <f t="shared" si="18"/>
        <v>291.94170000000003</v>
      </c>
      <c r="M131" s="364" t="str">
        <f>SUMIFS(Vendas[Qtd], Vendas[Cód. do Produto], Precificação[[#This Row],[Cód. do Produto]], Vendas[Status], "Entregue") &amp; " unidade(s) vendida(s)"</f>
        <v>0 unidade(s) vendida(s)</v>
      </c>
      <c r="N131" s="389"/>
      <c r="O131" s="390"/>
      <c r="P131" s="392"/>
      <c r="Q131" s="383"/>
    </row>
    <row r="132" spans="1:17" s="229" customFormat="1" ht="27.75" customHeight="1" thickBot="1" x14ac:dyDescent="0.3">
      <c r="A132" s="471" t="s">
        <v>7</v>
      </c>
      <c r="B132" s="37" t="s">
        <v>158</v>
      </c>
      <c r="C132" s="22" t="s">
        <v>94</v>
      </c>
      <c r="D132" s="22" t="s">
        <v>447</v>
      </c>
      <c r="E132" s="326" t="s">
        <v>93</v>
      </c>
      <c r="F132" s="69">
        <v>96</v>
      </c>
      <c r="G132" s="362"/>
      <c r="H132" s="363">
        <v>0.12</v>
      </c>
      <c r="I132" s="524">
        <f t="shared" si="14"/>
        <v>6.5</v>
      </c>
      <c r="J132" s="188">
        <v>0.57999999999999996</v>
      </c>
      <c r="K132" s="175">
        <f t="shared" si="17"/>
        <v>40.320000000000007</v>
      </c>
      <c r="L132" s="377">
        <f t="shared" si="18"/>
        <v>28.981600000000007</v>
      </c>
      <c r="M132" s="364" t="str">
        <f>SUMIFS(Vendas[Qtd], Vendas[Cód. do Produto], Precificação[[#This Row],[Cód. do Produto]], Vendas[Status], "Entregue") &amp; " unidade(s) vendida(s)"</f>
        <v>1 unidade(s) vendida(s)</v>
      </c>
      <c r="N132" s="389"/>
      <c r="O132" s="390"/>
      <c r="P132" s="392"/>
      <c r="Q132" s="383"/>
    </row>
    <row r="133" spans="1:17" s="229" customFormat="1" ht="27.75" customHeight="1" thickBot="1" x14ac:dyDescent="0.3">
      <c r="A133" s="471" t="s">
        <v>7</v>
      </c>
      <c r="B133" s="37" t="s">
        <v>158</v>
      </c>
      <c r="C133" s="22" t="s">
        <v>95</v>
      </c>
      <c r="D133" s="22" t="s">
        <v>447</v>
      </c>
      <c r="E133" s="326" t="s">
        <v>96</v>
      </c>
      <c r="F133" s="69">
        <v>260</v>
      </c>
      <c r="G133" s="362">
        <v>17.96</v>
      </c>
      <c r="H133" s="363">
        <v>0.17</v>
      </c>
      <c r="I133" s="524" t="str">
        <f t="shared" si="14"/>
        <v>R$ 0,00</v>
      </c>
      <c r="J133" s="188">
        <v>0.53</v>
      </c>
      <c r="K133" s="175">
        <f t="shared" si="17"/>
        <v>122.19999999999999</v>
      </c>
      <c r="L133" s="377">
        <f t="shared" si="18"/>
        <v>83.46599999999998</v>
      </c>
      <c r="M133" s="364" t="str">
        <f>SUMIFS(Vendas[Qtd], Vendas[Cód. do Produto], Precificação[[#This Row],[Cód. do Produto]], Vendas[Status], "Entregue") &amp; " unidade(s) vendida(s)"</f>
        <v>0 unidade(s) vendida(s)</v>
      </c>
      <c r="N133" s="389"/>
      <c r="O133" s="390"/>
      <c r="P133" s="392"/>
      <c r="Q133" s="383"/>
    </row>
    <row r="134" spans="1:17" s="229" customFormat="1" ht="27.75" customHeight="1" thickBot="1" x14ac:dyDescent="0.3">
      <c r="A134" s="471" t="s">
        <v>7</v>
      </c>
      <c r="B134" s="37" t="s">
        <v>158</v>
      </c>
      <c r="C134" s="22" t="s">
        <v>122</v>
      </c>
      <c r="D134" s="22" t="s">
        <v>276</v>
      </c>
      <c r="E134" s="326" t="s">
        <v>123</v>
      </c>
      <c r="F134" s="69">
        <v>74</v>
      </c>
      <c r="G134" s="362"/>
      <c r="H134" s="363">
        <v>0.12</v>
      </c>
      <c r="I134" s="524">
        <f t="shared" si="14"/>
        <v>6.5</v>
      </c>
      <c r="J134" s="188">
        <v>0.45</v>
      </c>
      <c r="K134" s="175">
        <f t="shared" si="17"/>
        <v>40.700000000000003</v>
      </c>
      <c r="L134" s="377">
        <f t="shared" si="18"/>
        <v>29.316000000000003</v>
      </c>
      <c r="M134" s="364" t="str">
        <f>SUMIFS(Vendas[Qtd], Vendas[Cód. do Produto], Precificação[[#This Row],[Cód. do Produto]], Vendas[Status], "Entregue") &amp; " unidade(s) vendida(s)"</f>
        <v>0 unidade(s) vendida(s)</v>
      </c>
      <c r="N134" s="389"/>
      <c r="O134" s="390"/>
      <c r="P134" s="392"/>
      <c r="Q134" s="383"/>
    </row>
    <row r="135" spans="1:17" s="229" customFormat="1" ht="27.75" customHeight="1" thickBot="1" x14ac:dyDescent="0.3">
      <c r="A135" s="472" t="s">
        <v>7</v>
      </c>
      <c r="B135" s="37" t="s">
        <v>158</v>
      </c>
      <c r="C135" s="22" t="s">
        <v>87</v>
      </c>
      <c r="D135" s="22" t="s">
        <v>276</v>
      </c>
      <c r="E135" s="326" t="s">
        <v>88</v>
      </c>
      <c r="F135" s="69">
        <v>222</v>
      </c>
      <c r="G135" s="362">
        <v>15.96</v>
      </c>
      <c r="H135" s="363">
        <v>0.17</v>
      </c>
      <c r="I135" s="524" t="str">
        <f t="shared" si="14"/>
        <v>R$ 0,00</v>
      </c>
      <c r="J135" s="188">
        <v>0.45</v>
      </c>
      <c r="K135" s="175">
        <f t="shared" si="17"/>
        <v>122.10000000000001</v>
      </c>
      <c r="L135" s="377">
        <f t="shared" si="18"/>
        <v>85.38300000000001</v>
      </c>
      <c r="M135" s="364" t="str">
        <f>SUMIFS(Vendas[Qtd], Vendas[Cód. do Produto], Precificação[[#This Row],[Cód. do Produto]], Vendas[Status], "Entregue") &amp; " unidade(s) vendida(s)"</f>
        <v>0 unidade(s) vendida(s)</v>
      </c>
      <c r="N135" s="389"/>
      <c r="O135" s="390"/>
      <c r="P135" s="392"/>
      <c r="Q135" s="383"/>
    </row>
    <row r="136" spans="1:17" s="229" customFormat="1" ht="27.75" customHeight="1" thickBot="1" x14ac:dyDescent="0.3">
      <c r="A136" s="471" t="s">
        <v>7</v>
      </c>
      <c r="B136" s="37" t="s">
        <v>158</v>
      </c>
      <c r="C136" s="22" t="s">
        <v>124</v>
      </c>
      <c r="D136" s="22" t="s">
        <v>277</v>
      </c>
      <c r="E136" s="326" t="s">
        <v>125</v>
      </c>
      <c r="F136" s="69">
        <v>61.33</v>
      </c>
      <c r="G136" s="362"/>
      <c r="H136" s="363">
        <v>0.12</v>
      </c>
      <c r="I136" s="524">
        <f t="shared" si="14"/>
        <v>6.75</v>
      </c>
      <c r="J136" s="188"/>
      <c r="K136" s="175">
        <f t="shared" si="17"/>
        <v>61.33</v>
      </c>
      <c r="L136" s="377">
        <f t="shared" si="18"/>
        <v>47.220399999999998</v>
      </c>
      <c r="M136" s="364" t="str">
        <f>SUMIFS(Vendas[Qtd], Vendas[Cód. do Produto], Precificação[[#This Row],[Cód. do Produto]], Vendas[Status], "Entregue") &amp; " unidade(s) vendida(s)"</f>
        <v>0 unidade(s) vendida(s)</v>
      </c>
      <c r="N136" s="389"/>
      <c r="O136" s="390"/>
      <c r="P136" s="392"/>
      <c r="Q136" s="383"/>
    </row>
    <row r="137" spans="1:17" s="229" customFormat="1" ht="27.75" customHeight="1" thickBot="1" x14ac:dyDescent="0.3">
      <c r="A137" s="470" t="s">
        <v>7</v>
      </c>
      <c r="B137" s="37" t="s">
        <v>158</v>
      </c>
      <c r="C137" s="24" t="s">
        <v>1759</v>
      </c>
      <c r="D137" s="24" t="s">
        <v>277</v>
      </c>
      <c r="E137" s="305" t="s">
        <v>29</v>
      </c>
      <c r="F137" s="69">
        <v>205</v>
      </c>
      <c r="G137" s="362">
        <v>17.95</v>
      </c>
      <c r="H137" s="363">
        <v>0.17</v>
      </c>
      <c r="I137" s="524" t="str">
        <f t="shared" si="14"/>
        <v>R$ 0,00</v>
      </c>
      <c r="J137" s="187">
        <v>0.13</v>
      </c>
      <c r="K137" s="175">
        <f t="shared" si="17"/>
        <v>178.35</v>
      </c>
      <c r="L137" s="377">
        <f t="shared" si="18"/>
        <v>130.0805</v>
      </c>
      <c r="M137" s="364" t="str">
        <f>SUMIFS(Vendas[Qtd], Vendas[Cód. do Produto], Precificação[[#This Row],[Cód. do Produto]], Vendas[Status], "Entregue") &amp; " unidade(s) vendida(s)"</f>
        <v>0 unidade(s) vendida(s)</v>
      </c>
      <c r="N137" s="389"/>
      <c r="O137" s="390"/>
      <c r="P137" s="392"/>
      <c r="Q137" s="383"/>
    </row>
    <row r="138" spans="1:17" s="229" customFormat="1" ht="27.75" customHeight="1" thickBot="1" x14ac:dyDescent="0.3">
      <c r="A138" s="471" t="s">
        <v>7</v>
      </c>
      <c r="B138" s="37" t="s">
        <v>158</v>
      </c>
      <c r="C138" s="22" t="s">
        <v>97</v>
      </c>
      <c r="D138" s="22" t="s">
        <v>278</v>
      </c>
      <c r="E138" s="326" t="s">
        <v>98</v>
      </c>
      <c r="F138" s="69">
        <v>107</v>
      </c>
      <c r="G138" s="362"/>
      <c r="H138" s="363">
        <v>0.12</v>
      </c>
      <c r="I138" s="524">
        <f t="shared" si="14"/>
        <v>6.5</v>
      </c>
      <c r="J138" s="188">
        <v>0.62</v>
      </c>
      <c r="K138" s="175">
        <f t="shared" si="17"/>
        <v>40.660000000000004</v>
      </c>
      <c r="L138" s="377">
        <f t="shared" si="18"/>
        <v>29.280800000000006</v>
      </c>
      <c r="M138" s="364" t="str">
        <f>SUMIFS(Vendas[Qtd], Vendas[Cód. do Produto], Precificação[[#This Row],[Cód. do Produto]], Vendas[Status], "Entregue") &amp; " unidade(s) vendida(s)"</f>
        <v>0 unidade(s) vendida(s)</v>
      </c>
      <c r="N138" s="389"/>
      <c r="O138" s="390"/>
      <c r="P138" s="392"/>
      <c r="Q138" s="383"/>
    </row>
    <row r="139" spans="1:17" s="229" customFormat="1" ht="27.75" customHeight="1" thickBot="1" x14ac:dyDescent="0.3">
      <c r="A139" s="471" t="s">
        <v>7</v>
      </c>
      <c r="B139" s="37" t="s">
        <v>158</v>
      </c>
      <c r="C139" s="22" t="s">
        <v>99</v>
      </c>
      <c r="D139" s="22" t="s">
        <v>278</v>
      </c>
      <c r="E139" s="326" t="s">
        <v>100</v>
      </c>
      <c r="F139" s="69">
        <v>279.99</v>
      </c>
      <c r="G139" s="362">
        <v>15.96</v>
      </c>
      <c r="H139" s="363">
        <v>0.17</v>
      </c>
      <c r="I139" s="524" t="str">
        <f t="shared" si="14"/>
        <v>R$ 0,00</v>
      </c>
      <c r="J139" s="188">
        <v>0.56999999999999995</v>
      </c>
      <c r="K139" s="175">
        <f t="shared" si="17"/>
        <v>120.39570000000002</v>
      </c>
      <c r="L139" s="377">
        <f t="shared" si="18"/>
        <v>83.96843100000001</v>
      </c>
      <c r="M139" s="364" t="str">
        <f>SUMIFS(Vendas[Qtd], Vendas[Cód. do Produto], Precificação[[#This Row],[Cód. do Produto]], Vendas[Status], "Entregue") &amp; " unidade(s) vendida(s)"</f>
        <v>0 unidade(s) vendida(s)</v>
      </c>
      <c r="N139" s="389"/>
      <c r="O139" s="390"/>
      <c r="P139" s="392"/>
      <c r="Q139" s="383"/>
    </row>
    <row r="140" spans="1:17" s="229" customFormat="1" ht="27.75" customHeight="1" thickBot="1" x14ac:dyDescent="0.3">
      <c r="A140" s="472" t="s">
        <v>7</v>
      </c>
      <c r="B140" s="37" t="s">
        <v>158</v>
      </c>
      <c r="C140" s="22" t="s">
        <v>91</v>
      </c>
      <c r="D140" s="22" t="s">
        <v>279</v>
      </c>
      <c r="E140" s="326" t="s">
        <v>92</v>
      </c>
      <c r="F140" s="69">
        <v>71.33</v>
      </c>
      <c r="G140" s="362"/>
      <c r="H140" s="363">
        <v>0.12</v>
      </c>
      <c r="I140" s="524">
        <f t="shared" ref="I140:I179" si="19">IF(G140&lt;&gt;"", "R$ 0,00",
IF(K140&lt;=12.5, INT((K140/2)/0.02)*0.02,
IF(K140&lt;29, 6.25,
IF(K140&lt;50, 6.5,
IF(K140&lt;=79, 6.75,
0)))))</f>
        <v>6.5</v>
      </c>
      <c r="J140" s="188">
        <v>0.43</v>
      </c>
      <c r="K140" s="175">
        <f t="shared" si="17"/>
        <v>40.658100000000005</v>
      </c>
      <c r="L140" s="377">
        <f t="shared" si="18"/>
        <v>29.279128000000007</v>
      </c>
      <c r="M140" s="364" t="str">
        <f>SUMIFS(Vendas[Qtd], Vendas[Cód. do Produto], Precificação[[#This Row],[Cód. do Produto]], Vendas[Status], "Entregue") &amp; " unidade(s) vendida(s)"</f>
        <v>0 unidade(s) vendida(s)</v>
      </c>
      <c r="N140" s="389"/>
      <c r="O140" s="390"/>
      <c r="P140" s="392"/>
      <c r="Q140" s="383"/>
    </row>
    <row r="141" spans="1:17" s="229" customFormat="1" ht="27.75" customHeight="1" thickBot="1" x14ac:dyDescent="0.3">
      <c r="A141" s="471" t="s">
        <v>7</v>
      </c>
      <c r="B141" s="37" t="s">
        <v>158</v>
      </c>
      <c r="C141" s="22" t="s">
        <v>118</v>
      </c>
      <c r="D141" s="22" t="s">
        <v>279</v>
      </c>
      <c r="E141" s="326" t="s">
        <v>119</v>
      </c>
      <c r="F141" s="69">
        <v>214</v>
      </c>
      <c r="G141" s="362">
        <v>15.96</v>
      </c>
      <c r="H141" s="363">
        <v>0.17</v>
      </c>
      <c r="I141" s="524" t="str">
        <f t="shared" si="19"/>
        <v>R$ 0,00</v>
      </c>
      <c r="J141" s="188">
        <v>0.43</v>
      </c>
      <c r="K141" s="175">
        <f t="shared" si="17"/>
        <v>121.98000000000002</v>
      </c>
      <c r="L141" s="377">
        <f t="shared" si="18"/>
        <v>85.2834</v>
      </c>
      <c r="M141" s="364" t="str">
        <f>SUMIFS(Vendas[Qtd], Vendas[Cód. do Produto], Precificação[[#This Row],[Cód. do Produto]], Vendas[Status], "Entregue") &amp; " unidade(s) vendida(s)"</f>
        <v>0 unidade(s) vendida(s)</v>
      </c>
      <c r="N141" s="389"/>
      <c r="O141" s="390"/>
      <c r="P141" s="392"/>
      <c r="Q141" s="383"/>
    </row>
    <row r="142" spans="1:17" s="229" customFormat="1" ht="27.75" customHeight="1" thickBot="1" x14ac:dyDescent="0.3">
      <c r="A142" s="472" t="s">
        <v>7</v>
      </c>
      <c r="B142" s="37" t="s">
        <v>158</v>
      </c>
      <c r="C142" s="22" t="s">
        <v>62</v>
      </c>
      <c r="D142" s="22" t="s">
        <v>280</v>
      </c>
      <c r="E142" s="326" t="s">
        <v>63</v>
      </c>
      <c r="F142" s="69">
        <v>1239.29</v>
      </c>
      <c r="G142" s="362">
        <v>21.45</v>
      </c>
      <c r="H142" s="363">
        <v>0.17</v>
      </c>
      <c r="I142" s="524" t="str">
        <f t="shared" si="19"/>
        <v>R$ 0,00</v>
      </c>
      <c r="J142" s="187"/>
      <c r="K142" s="175">
        <f t="shared" si="17"/>
        <v>1239.29</v>
      </c>
      <c r="L142" s="377">
        <f t="shared" si="18"/>
        <v>1007.1606999999999</v>
      </c>
      <c r="M142" s="364" t="str">
        <f>SUMIFS(Vendas[Qtd], Vendas[Cód. do Produto], Precificação[[#This Row],[Cód. do Produto]], Vendas[Status], "Entregue") &amp; " unidade(s) vendida(s)"</f>
        <v>0 unidade(s) vendida(s)</v>
      </c>
      <c r="N142" s="389"/>
      <c r="O142" s="390"/>
      <c r="P142" s="392"/>
      <c r="Q142" s="383"/>
    </row>
    <row r="143" spans="1:17" s="229" customFormat="1" ht="27.75" customHeight="1" thickBot="1" x14ac:dyDescent="0.3">
      <c r="A143" s="472" t="s">
        <v>7</v>
      </c>
      <c r="B143" s="37" t="s">
        <v>159</v>
      </c>
      <c r="C143" s="22" t="s">
        <v>1729</v>
      </c>
      <c r="D143" s="22" t="s">
        <v>452</v>
      </c>
      <c r="E143" s="326" t="s">
        <v>450</v>
      </c>
      <c r="F143" s="69">
        <v>86.52</v>
      </c>
      <c r="G143" s="362"/>
      <c r="H143" s="363">
        <v>0.12</v>
      </c>
      <c r="I143" s="524">
        <f t="shared" si="19"/>
        <v>6.75</v>
      </c>
      <c r="J143" s="188">
        <v>0.13</v>
      </c>
      <c r="K143" s="175">
        <f t="shared" si="17"/>
        <v>75.27239999999999</v>
      </c>
      <c r="L143" s="377">
        <f t="shared" si="18"/>
        <v>59.489711999999997</v>
      </c>
      <c r="M143" s="364" t="str">
        <f>SUMIFS(Vendas[Qtd], Vendas[Cód. do Produto], Precificação[[#This Row],[Cód. do Produto]], Vendas[Status], "Entregue") &amp; " unidade(s) vendida(s)"</f>
        <v>2 unidade(s) vendida(s)</v>
      </c>
      <c r="N143" s="389"/>
      <c r="O143" s="390"/>
      <c r="P143" s="392"/>
      <c r="Q143" s="383"/>
    </row>
    <row r="144" spans="1:17" s="229" customFormat="1" ht="27.75" customHeight="1" thickBot="1" x14ac:dyDescent="0.3">
      <c r="A144" s="472" t="s">
        <v>7</v>
      </c>
      <c r="B144" s="37" t="s">
        <v>159</v>
      </c>
      <c r="C144" s="22" t="s">
        <v>453</v>
      </c>
      <c r="D144" s="22" t="s">
        <v>452</v>
      </c>
      <c r="E144" s="326" t="s">
        <v>454</v>
      </c>
      <c r="F144" s="69">
        <v>172</v>
      </c>
      <c r="G144" s="362">
        <v>24.95</v>
      </c>
      <c r="H144" s="363">
        <v>0.12</v>
      </c>
      <c r="I144" s="524" t="str">
        <f t="shared" si="19"/>
        <v>R$ 0,00</v>
      </c>
      <c r="J144" s="188">
        <v>0.06</v>
      </c>
      <c r="K144" s="175">
        <f t="shared" si="17"/>
        <v>161.67999999999998</v>
      </c>
      <c r="L144" s="377">
        <f t="shared" si="18"/>
        <v>117.32839999999997</v>
      </c>
      <c r="M144" s="364" t="str">
        <f>SUMIFS(Vendas[Qtd], Vendas[Cód. do Produto], Precificação[[#This Row],[Cód. do Produto]], Vendas[Status], "Entregue") &amp; " unidade(s) vendida(s)"</f>
        <v>0 unidade(s) vendida(s)</v>
      </c>
      <c r="N144" s="389"/>
      <c r="O144" s="390"/>
      <c r="P144" s="392"/>
      <c r="Q144" s="383"/>
    </row>
    <row r="145" spans="1:17" s="229" customFormat="1" ht="27.75" customHeight="1" thickBot="1" x14ac:dyDescent="0.3">
      <c r="A145" s="472" t="s">
        <v>7</v>
      </c>
      <c r="B145" s="37" t="s">
        <v>158</v>
      </c>
      <c r="C145" s="22" t="s">
        <v>455</v>
      </c>
      <c r="D145" s="22" t="s">
        <v>270</v>
      </c>
      <c r="E145" s="326" t="s">
        <v>456</v>
      </c>
      <c r="F145" s="69">
        <v>499.99</v>
      </c>
      <c r="G145" s="362"/>
      <c r="H145" s="363">
        <v>0.17</v>
      </c>
      <c r="I145" s="524">
        <f t="shared" si="19"/>
        <v>0</v>
      </c>
      <c r="J145" s="188">
        <v>0.24</v>
      </c>
      <c r="K145" s="175">
        <f t="shared" si="17"/>
        <v>379.99240000000003</v>
      </c>
      <c r="L145" s="377">
        <f t="shared" si="18"/>
        <v>315.39369199999999</v>
      </c>
      <c r="M145" s="364" t="str">
        <f>SUMIFS(Vendas[Qtd], Vendas[Cód. do Produto], Precificação[[#This Row],[Cód. do Produto]], Vendas[Status], "Entregue") &amp; " unidade(s) vendida(s)"</f>
        <v>1 unidade(s) vendida(s)</v>
      </c>
      <c r="N145" s="389"/>
      <c r="O145" s="390"/>
      <c r="P145" s="392"/>
      <c r="Q145" s="383"/>
    </row>
    <row r="146" spans="1:17" s="229" customFormat="1" ht="27.75" customHeight="1" thickBot="1" x14ac:dyDescent="0.3">
      <c r="A146" s="472" t="s">
        <v>7</v>
      </c>
      <c r="B146" s="37" t="s">
        <v>159</v>
      </c>
      <c r="C146" s="22" t="s">
        <v>460</v>
      </c>
      <c r="D146" s="22" t="s">
        <v>461</v>
      </c>
      <c r="E146" s="326" t="s">
        <v>462</v>
      </c>
      <c r="F146" s="69">
        <v>12</v>
      </c>
      <c r="G146" s="362"/>
      <c r="H146" s="363">
        <v>0.12</v>
      </c>
      <c r="I146" s="524">
        <f t="shared" si="19"/>
        <v>6</v>
      </c>
      <c r="J146" s="188"/>
      <c r="K146" s="175">
        <f t="shared" si="17"/>
        <v>12</v>
      </c>
      <c r="L146" s="377">
        <f t="shared" si="18"/>
        <v>4.5600000000000005</v>
      </c>
      <c r="M146" s="364" t="str">
        <f>SUMIFS(Vendas[Qtd], Vendas[Cód. do Produto], Precificação[[#This Row],[Cód. do Produto]], Vendas[Status], "Entregue") &amp; " unidade(s) vendida(s)"</f>
        <v>0 unidade(s) vendida(s)</v>
      </c>
      <c r="N146" s="389"/>
      <c r="O146" s="390"/>
      <c r="P146" s="392"/>
      <c r="Q146" s="383"/>
    </row>
    <row r="147" spans="1:17" s="229" customFormat="1" ht="27.75" customHeight="1" thickBot="1" x14ac:dyDescent="0.3">
      <c r="A147" s="472" t="s">
        <v>7</v>
      </c>
      <c r="B147" s="37" t="s">
        <v>158</v>
      </c>
      <c r="C147" s="22" t="s">
        <v>481</v>
      </c>
      <c r="D147" s="22" t="s">
        <v>482</v>
      </c>
      <c r="E147" s="326" t="s">
        <v>483</v>
      </c>
      <c r="F147" s="69">
        <v>70</v>
      </c>
      <c r="G147" s="362"/>
      <c r="H147" s="363">
        <v>0.12</v>
      </c>
      <c r="I147" s="524">
        <f t="shared" si="19"/>
        <v>6.75</v>
      </c>
      <c r="J147" s="523"/>
      <c r="K147" s="175">
        <f t="shared" si="17"/>
        <v>70</v>
      </c>
      <c r="L147" s="377">
        <f t="shared" si="18"/>
        <v>54.85</v>
      </c>
      <c r="M147" s="364" t="str">
        <f>SUMIFS(Vendas[Qtd], Vendas[Cód. do Produto], Precificação[[#This Row],[Cód. do Produto]], Vendas[Status], "Entregue") &amp; " unidade(s) vendida(s)"</f>
        <v>0 unidade(s) vendida(s)</v>
      </c>
      <c r="N147" s="389"/>
      <c r="O147" s="390"/>
      <c r="P147" s="392"/>
      <c r="Q147" s="383"/>
    </row>
    <row r="148" spans="1:17" s="229" customFormat="1" ht="27.75" customHeight="1" thickBot="1" x14ac:dyDescent="0.3">
      <c r="A148" s="471" t="s">
        <v>7</v>
      </c>
      <c r="B148" s="37" t="s">
        <v>159</v>
      </c>
      <c r="C148" s="22" t="s">
        <v>132</v>
      </c>
      <c r="D148" s="22" t="s">
        <v>222</v>
      </c>
      <c r="E148" s="326" t="s">
        <v>133</v>
      </c>
      <c r="F148" s="69">
        <v>102</v>
      </c>
      <c r="G148" s="362"/>
      <c r="H148" s="363">
        <v>0.12</v>
      </c>
      <c r="I148" s="524">
        <f t="shared" si="19"/>
        <v>6.75</v>
      </c>
      <c r="J148" s="188">
        <v>0.24</v>
      </c>
      <c r="K148" s="175">
        <f t="shared" si="17"/>
        <v>77.52</v>
      </c>
      <c r="L148" s="377">
        <f t="shared" si="18"/>
        <v>61.46759999999999</v>
      </c>
      <c r="M148" s="364" t="str">
        <f>SUMIFS(Vendas[Qtd], Vendas[Cód. do Produto], Precificação[[#This Row],[Cód. do Produto]], Vendas[Status], "Entregue") &amp; " unidade(s) vendida(s)"</f>
        <v>0 unidade(s) vendida(s)</v>
      </c>
      <c r="N148" s="389"/>
      <c r="O148" s="390"/>
      <c r="P148" s="392"/>
      <c r="Q148" s="383"/>
    </row>
    <row r="149" spans="1:17" s="229" customFormat="1" ht="27.75" customHeight="1" thickBot="1" x14ac:dyDescent="0.3">
      <c r="A149" s="471" t="s">
        <v>7</v>
      </c>
      <c r="B149" s="37" t="s">
        <v>158</v>
      </c>
      <c r="C149" s="22" t="s">
        <v>1189</v>
      </c>
      <c r="D149" s="22" t="s">
        <v>1190</v>
      </c>
      <c r="E149" s="326" t="s">
        <v>1191</v>
      </c>
      <c r="F149" s="69">
        <v>38.9</v>
      </c>
      <c r="G149" s="514"/>
      <c r="H149" s="363">
        <v>0.12</v>
      </c>
      <c r="I149" s="524">
        <f t="shared" si="19"/>
        <v>6.5</v>
      </c>
      <c r="J149" s="188"/>
      <c r="K149" s="175">
        <f t="shared" si="17"/>
        <v>38.9</v>
      </c>
      <c r="L149" s="377">
        <f t="shared" si="18"/>
        <v>27.731999999999999</v>
      </c>
      <c r="M149" s="364" t="str">
        <f>SUMIFS(Vendas[Qtd], Vendas[Cód. do Produto], Precificação[[#This Row],[Cód. do Produto]], Vendas[Status], "Entregue") &amp; " unidade(s) vendida(s)"</f>
        <v>0 unidade(s) vendida(s)</v>
      </c>
      <c r="N149" s="389"/>
      <c r="O149" s="390"/>
      <c r="P149" s="392"/>
      <c r="Q149" s="383"/>
    </row>
    <row r="150" spans="1:17" s="229" customFormat="1" ht="27.75" customHeight="1" thickBot="1" x14ac:dyDescent="0.3">
      <c r="A150" s="471" t="s">
        <v>7</v>
      </c>
      <c r="B150" s="37" t="s">
        <v>159</v>
      </c>
      <c r="C150" s="22" t="s">
        <v>1192</v>
      </c>
      <c r="D150" s="22" t="s">
        <v>1193</v>
      </c>
      <c r="E150" s="326" t="s">
        <v>1194</v>
      </c>
      <c r="F150" s="69">
        <v>999</v>
      </c>
      <c r="G150" s="362"/>
      <c r="H150" s="363">
        <v>0.17</v>
      </c>
      <c r="I150" s="524">
        <f t="shared" si="19"/>
        <v>0</v>
      </c>
      <c r="J150" s="188"/>
      <c r="K150" s="175">
        <f t="shared" si="17"/>
        <v>999</v>
      </c>
      <c r="L150" s="377">
        <f t="shared" si="18"/>
        <v>829.17</v>
      </c>
      <c r="M150" s="364" t="str">
        <f>SUMIFS(Vendas[Qtd], Vendas[Cód. do Produto], Precificação[[#This Row],[Cód. do Produto]], Vendas[Status], "Entregue") &amp; " unidade(s) vendida(s)"</f>
        <v>1 unidade(s) vendida(s)</v>
      </c>
      <c r="N150" s="389"/>
      <c r="O150" s="390"/>
      <c r="P150" s="392"/>
      <c r="Q150" s="383"/>
    </row>
    <row r="151" spans="1:17" s="229" customFormat="1" ht="27.75" customHeight="1" thickBot="1" x14ac:dyDescent="0.3">
      <c r="A151" s="462"/>
      <c r="B151" s="37" t="s">
        <v>159</v>
      </c>
      <c r="C151" s="22" t="s">
        <v>1195</v>
      </c>
      <c r="D151" s="22" t="s">
        <v>1196</v>
      </c>
      <c r="E151" s="326" t="s">
        <v>1197</v>
      </c>
      <c r="F151" s="69">
        <v>168</v>
      </c>
      <c r="G151" s="362">
        <v>23.45</v>
      </c>
      <c r="H151" s="363">
        <v>0.12</v>
      </c>
      <c r="I151" s="524" t="str">
        <f t="shared" si="19"/>
        <v>R$ 0,00</v>
      </c>
      <c r="J151" s="188"/>
      <c r="K151" s="175">
        <f t="shared" si="17"/>
        <v>168</v>
      </c>
      <c r="L151" s="377">
        <f t="shared" si="18"/>
        <v>124.39</v>
      </c>
      <c r="M151" s="364" t="str">
        <f>SUMIFS(Vendas[Qtd], Vendas[Cód. do Produto], Precificação[[#This Row],[Cód. do Produto]], Vendas[Status], "Entregue") &amp; " unidade(s) vendida(s)"</f>
        <v>0 unidade(s) vendida(s)</v>
      </c>
      <c r="N151" s="389"/>
      <c r="O151" s="390"/>
      <c r="P151" s="392"/>
      <c r="Q151" s="383"/>
    </row>
    <row r="152" spans="1:17" s="229" customFormat="1" ht="27.75" customHeight="1" thickBot="1" x14ac:dyDescent="0.3">
      <c r="A152" s="463"/>
      <c r="B152" s="31" t="s">
        <v>159</v>
      </c>
      <c r="C152" s="24" t="s">
        <v>198</v>
      </c>
      <c r="D152" s="24"/>
      <c r="E152" s="326" t="s">
        <v>199</v>
      </c>
      <c r="F152" s="69">
        <v>229.99</v>
      </c>
      <c r="G152" s="368"/>
      <c r="H152" s="368"/>
      <c r="I152" s="524">
        <f t="shared" si="19"/>
        <v>0</v>
      </c>
      <c r="J152" s="369"/>
      <c r="K152" s="175"/>
      <c r="L152" s="379"/>
      <c r="M152" s="364" t="str">
        <f>SUMIFS(Vendas[Qtd], Vendas[Cód. do Produto], Precificação[[#This Row],[Cód. do Produto]], Vendas[Status], "Entregue") &amp; " unidade(s) vendida(s)"</f>
        <v>0 unidade(s) vendida(s)</v>
      </c>
      <c r="N152" s="389"/>
      <c r="O152" s="390"/>
      <c r="P152" s="392"/>
      <c r="Q152" s="383"/>
    </row>
    <row r="153" spans="1:17" s="229" customFormat="1" ht="27.75" customHeight="1" x14ac:dyDescent="0.25">
      <c r="A153" s="463"/>
      <c r="B153" s="31" t="s">
        <v>159</v>
      </c>
      <c r="C153" s="24" t="s">
        <v>208</v>
      </c>
      <c r="D153" s="24"/>
      <c r="E153" s="326" t="s">
        <v>209</v>
      </c>
      <c r="F153" s="69">
        <v>139.99</v>
      </c>
      <c r="G153" s="368"/>
      <c r="H153" s="368"/>
      <c r="I153" s="524">
        <f t="shared" si="19"/>
        <v>0</v>
      </c>
      <c r="J153" s="369"/>
      <c r="K153" s="175"/>
      <c r="L153" s="379"/>
      <c r="M153" s="364" t="str">
        <f>SUMIFS(Vendas[Qtd], Vendas[Cód. do Produto], Precificação[[#This Row],[Cód. do Produto]], Vendas[Status], "Entregue") &amp; " unidade(s) vendida(s)"</f>
        <v>0 unidade(s) vendida(s)</v>
      </c>
      <c r="N153" s="387"/>
      <c r="O153" s="383"/>
      <c r="P153" s="393"/>
      <c r="Q153" s="383"/>
    </row>
    <row r="154" spans="1:17" s="229" customFormat="1" ht="27.75" customHeight="1" x14ac:dyDescent="0.25">
      <c r="A154" s="463"/>
      <c r="B154" s="31" t="s">
        <v>159</v>
      </c>
      <c r="C154" s="24" t="s">
        <v>200</v>
      </c>
      <c r="D154" s="24"/>
      <c r="E154" s="326" t="s">
        <v>201</v>
      </c>
      <c r="F154" s="69">
        <v>164.2</v>
      </c>
      <c r="G154" s="368"/>
      <c r="H154" s="368"/>
      <c r="I154" s="524">
        <f t="shared" si="19"/>
        <v>0</v>
      </c>
      <c r="J154" s="369"/>
      <c r="K154" s="175"/>
      <c r="L154" s="379"/>
      <c r="M154" s="364" t="str">
        <f>SUMIFS(Vendas[Qtd], Vendas[Cód. do Produto], Precificação[[#This Row],[Cód. do Produto]], Vendas[Status], "Entregue") &amp; " unidade(s) vendida(s)"</f>
        <v>0 unidade(s) vendida(s)</v>
      </c>
      <c r="N154" s="387"/>
      <c r="O154" s="383"/>
      <c r="P154" s="393"/>
      <c r="Q154" s="383"/>
    </row>
    <row r="155" spans="1:17" s="229" customFormat="1" ht="27.75" customHeight="1" x14ac:dyDescent="0.25">
      <c r="A155" s="463"/>
      <c r="B155" s="31" t="s">
        <v>159</v>
      </c>
      <c r="C155" s="24" t="s">
        <v>186</v>
      </c>
      <c r="D155" s="24"/>
      <c r="E155" s="326" t="s">
        <v>187</v>
      </c>
      <c r="F155" s="69">
        <v>433.01</v>
      </c>
      <c r="G155" s="368"/>
      <c r="H155" s="368"/>
      <c r="I155" s="524">
        <f t="shared" si="19"/>
        <v>0</v>
      </c>
      <c r="J155" s="369"/>
      <c r="K155" s="175"/>
      <c r="L155" s="379"/>
      <c r="M155" s="364" t="str">
        <f>SUMIFS(Vendas[Qtd], Vendas[Cód. do Produto], Precificação[[#This Row],[Cód. do Produto]], Vendas[Status], "Entregue") &amp; " unidade(s) vendida(s)"</f>
        <v>1 unidade(s) vendida(s)</v>
      </c>
      <c r="N155" s="387"/>
      <c r="O155" s="383"/>
      <c r="P155" s="393"/>
      <c r="Q155" s="383"/>
    </row>
    <row r="156" spans="1:17" s="229" customFormat="1" ht="27.75" customHeight="1" x14ac:dyDescent="0.25">
      <c r="A156" s="463"/>
      <c r="B156" s="31" t="s">
        <v>159</v>
      </c>
      <c r="C156" s="24" t="s">
        <v>176</v>
      </c>
      <c r="D156" s="24"/>
      <c r="E156" s="326" t="s">
        <v>177</v>
      </c>
      <c r="F156" s="69">
        <v>410</v>
      </c>
      <c r="G156" s="368"/>
      <c r="H156" s="368"/>
      <c r="I156" s="524">
        <f t="shared" si="19"/>
        <v>0</v>
      </c>
      <c r="J156" s="369"/>
      <c r="K156" s="175"/>
      <c r="L156" s="379"/>
      <c r="M156" s="364" t="str">
        <f>SUMIFS(Vendas[Qtd], Vendas[Cód. do Produto], Precificação[[#This Row],[Cód. do Produto]], Vendas[Status], "Entregue") &amp; " unidade(s) vendida(s)"</f>
        <v>2 unidade(s) vendida(s)</v>
      </c>
      <c r="N156" s="387"/>
      <c r="O156" s="383"/>
      <c r="P156" s="393"/>
      <c r="Q156" s="383"/>
    </row>
    <row r="157" spans="1:17" s="229" customFormat="1" ht="27.75" customHeight="1" x14ac:dyDescent="0.25">
      <c r="A157" s="463"/>
      <c r="B157" s="31" t="s">
        <v>159</v>
      </c>
      <c r="C157" s="24" t="s">
        <v>164</v>
      </c>
      <c r="D157" s="24"/>
      <c r="E157" s="326" t="s">
        <v>165</v>
      </c>
      <c r="F157" s="69">
        <v>189.3</v>
      </c>
      <c r="G157" s="368"/>
      <c r="H157" s="368"/>
      <c r="I157" s="524">
        <f t="shared" si="19"/>
        <v>0</v>
      </c>
      <c r="J157" s="369"/>
      <c r="K157" s="175"/>
      <c r="L157" s="379"/>
      <c r="M157" s="364" t="str">
        <f>SUMIFS(Vendas[Qtd], Vendas[Cód. do Produto], Precificação[[#This Row],[Cód. do Produto]], Vendas[Status], "Entregue") &amp; " unidade(s) vendida(s)"</f>
        <v>34 unidade(s) vendida(s)</v>
      </c>
      <c r="N157" s="387"/>
      <c r="O157" s="383"/>
      <c r="P157" s="393"/>
      <c r="Q157" s="383"/>
    </row>
    <row r="158" spans="1:17" s="229" customFormat="1" ht="27.75" customHeight="1" x14ac:dyDescent="0.25">
      <c r="A158" s="463"/>
      <c r="B158" s="31" t="s">
        <v>159</v>
      </c>
      <c r="C158" s="24" t="s">
        <v>166</v>
      </c>
      <c r="D158" s="24"/>
      <c r="E158" s="326" t="s">
        <v>167</v>
      </c>
      <c r="F158" s="69">
        <v>189.99</v>
      </c>
      <c r="G158" s="368"/>
      <c r="H158" s="368"/>
      <c r="I158" s="524">
        <f t="shared" si="19"/>
        <v>0</v>
      </c>
      <c r="J158" s="369"/>
      <c r="K158" s="175"/>
      <c r="L158" s="379"/>
      <c r="M158" s="364" t="str">
        <f>SUMIFS(Vendas[Qtd], Vendas[Cód. do Produto], Precificação[[#This Row],[Cód. do Produto]], Vendas[Status], "Entregue") &amp; " unidade(s) vendida(s)"</f>
        <v>18 unidade(s) vendida(s)</v>
      </c>
      <c r="N158" s="387"/>
      <c r="O158" s="383"/>
      <c r="P158" s="393"/>
      <c r="Q158" s="383"/>
    </row>
    <row r="159" spans="1:17" s="229" customFormat="1" ht="27.75" customHeight="1" x14ac:dyDescent="0.25">
      <c r="A159" s="463"/>
      <c r="B159" s="31" t="s">
        <v>159</v>
      </c>
      <c r="C159" s="24" t="s">
        <v>172</v>
      </c>
      <c r="D159" s="24"/>
      <c r="E159" s="326" t="s">
        <v>173</v>
      </c>
      <c r="F159" s="69">
        <v>260.2</v>
      </c>
      <c r="G159" s="368"/>
      <c r="H159" s="368"/>
      <c r="I159" s="524">
        <f t="shared" si="19"/>
        <v>0</v>
      </c>
      <c r="J159" s="369"/>
      <c r="K159" s="175"/>
      <c r="L159" s="379"/>
      <c r="M159" s="364" t="str">
        <f>SUMIFS(Vendas[Qtd], Vendas[Cód. do Produto], Precificação[[#This Row],[Cód. do Produto]], Vendas[Status], "Entregue") &amp; " unidade(s) vendida(s)"</f>
        <v>4 unidade(s) vendida(s)</v>
      </c>
      <c r="N159" s="387"/>
      <c r="O159" s="383"/>
      <c r="P159" s="393"/>
      <c r="Q159" s="383"/>
    </row>
    <row r="160" spans="1:17" s="229" customFormat="1" ht="27.75" customHeight="1" x14ac:dyDescent="0.25">
      <c r="A160" s="463"/>
      <c r="B160" s="31" t="s">
        <v>159</v>
      </c>
      <c r="C160" s="24" t="s">
        <v>206</v>
      </c>
      <c r="D160" s="24"/>
      <c r="E160" s="326" t="s">
        <v>207</v>
      </c>
      <c r="F160" s="69">
        <v>149.99</v>
      </c>
      <c r="G160" s="368"/>
      <c r="H160" s="368"/>
      <c r="I160" s="524">
        <f t="shared" si="19"/>
        <v>0</v>
      </c>
      <c r="J160" s="369"/>
      <c r="K160" s="175"/>
      <c r="L160" s="379"/>
      <c r="M160" s="364" t="str">
        <f>SUMIFS(Vendas[Qtd], Vendas[Cód. do Produto], Precificação[[#This Row],[Cód. do Produto]], Vendas[Status], "Entregue") &amp; " unidade(s) vendida(s)"</f>
        <v>0 unidade(s) vendida(s)</v>
      </c>
      <c r="N160" s="387"/>
      <c r="O160" s="383"/>
      <c r="P160" s="393"/>
      <c r="Q160" s="383"/>
    </row>
    <row r="161" spans="1:17" s="229" customFormat="1" ht="27.75" customHeight="1" x14ac:dyDescent="0.25">
      <c r="A161" s="463"/>
      <c r="B161" s="31" t="s">
        <v>159</v>
      </c>
      <c r="C161" s="24" t="s">
        <v>181</v>
      </c>
      <c r="D161" s="24"/>
      <c r="E161" s="326" t="s">
        <v>180</v>
      </c>
      <c r="F161" s="69">
        <v>369.99</v>
      </c>
      <c r="G161" s="368"/>
      <c r="H161" s="368"/>
      <c r="I161" s="524">
        <f t="shared" si="19"/>
        <v>0</v>
      </c>
      <c r="J161" s="369"/>
      <c r="K161" s="175"/>
      <c r="L161" s="379"/>
      <c r="M161" s="364" t="str">
        <f>SUMIFS(Vendas[Qtd], Vendas[Cód. do Produto], Precificação[[#This Row],[Cód. do Produto]], Vendas[Status], "Entregue") &amp; " unidade(s) vendida(s)"</f>
        <v>2 unidade(s) vendida(s)</v>
      </c>
      <c r="N161" s="387"/>
      <c r="O161" s="383"/>
      <c r="P161" s="393"/>
      <c r="Q161" s="383"/>
    </row>
    <row r="162" spans="1:17" s="229" customFormat="1" ht="27.75" customHeight="1" x14ac:dyDescent="0.25">
      <c r="A162" s="463"/>
      <c r="B162" s="31" t="s">
        <v>159</v>
      </c>
      <c r="C162" s="24" t="s">
        <v>210</v>
      </c>
      <c r="D162" s="24"/>
      <c r="E162" s="326" t="s">
        <v>211</v>
      </c>
      <c r="F162" s="69">
        <v>49.99</v>
      </c>
      <c r="G162" s="368"/>
      <c r="H162" s="368"/>
      <c r="I162" s="524">
        <f t="shared" si="19"/>
        <v>0</v>
      </c>
      <c r="J162" s="369"/>
      <c r="K162" s="175"/>
      <c r="L162" s="379"/>
      <c r="M162" s="364" t="str">
        <f>SUMIFS(Vendas[Qtd], Vendas[Cód. do Produto], Precificação[[#This Row],[Cód. do Produto]], Vendas[Status], "Entregue") &amp; " unidade(s) vendida(s)"</f>
        <v>0 unidade(s) vendida(s)</v>
      </c>
      <c r="N162" s="387"/>
      <c r="O162" s="383"/>
      <c r="P162" s="393"/>
      <c r="Q162" s="383"/>
    </row>
    <row r="163" spans="1:17" s="229" customFormat="1" ht="27.75" customHeight="1" x14ac:dyDescent="0.25">
      <c r="A163" s="463"/>
      <c r="B163" s="31" t="s">
        <v>159</v>
      </c>
      <c r="C163" s="24" t="s">
        <v>188</v>
      </c>
      <c r="D163" s="24"/>
      <c r="E163" s="326" t="s">
        <v>189</v>
      </c>
      <c r="F163" s="69">
        <v>11.2</v>
      </c>
      <c r="G163" s="368"/>
      <c r="H163" s="368"/>
      <c r="I163" s="524">
        <f t="shared" si="19"/>
        <v>0</v>
      </c>
      <c r="J163" s="369"/>
      <c r="K163" s="175"/>
      <c r="L163" s="379"/>
      <c r="M163" s="364" t="str">
        <f>SUMIFS(Vendas[Qtd], Vendas[Cód. do Produto], Precificação[[#This Row],[Cód. do Produto]], Vendas[Status], "Entregue") &amp; " unidade(s) vendida(s)"</f>
        <v>1 unidade(s) vendida(s)</v>
      </c>
      <c r="N163" s="387"/>
      <c r="O163" s="383"/>
      <c r="P163" s="393"/>
      <c r="Q163" s="383"/>
    </row>
    <row r="164" spans="1:17" s="229" customFormat="1" ht="27.75" customHeight="1" x14ac:dyDescent="0.25">
      <c r="A164" s="463"/>
      <c r="B164" s="31" t="s">
        <v>159</v>
      </c>
      <c r="C164" s="24" t="s">
        <v>190</v>
      </c>
      <c r="D164" s="24"/>
      <c r="E164" s="326" t="s">
        <v>191</v>
      </c>
      <c r="F164" s="69">
        <v>227.69</v>
      </c>
      <c r="G164" s="368"/>
      <c r="H164" s="368"/>
      <c r="I164" s="524">
        <f t="shared" si="19"/>
        <v>0</v>
      </c>
      <c r="J164" s="369"/>
      <c r="K164" s="175"/>
      <c r="L164" s="379"/>
      <c r="M164" s="364" t="str">
        <f>SUMIFS(Vendas[Qtd], Vendas[Cód. do Produto], Precificação[[#This Row],[Cód. do Produto]], Vendas[Status], "Entregue") &amp; " unidade(s) vendida(s)"</f>
        <v>0 unidade(s) vendida(s)</v>
      </c>
      <c r="N164" s="387"/>
      <c r="O164" s="383"/>
      <c r="P164" s="393"/>
      <c r="Q164" s="383"/>
    </row>
    <row r="165" spans="1:17" s="229" customFormat="1" ht="27.75" customHeight="1" x14ac:dyDescent="0.25">
      <c r="A165" s="463"/>
      <c r="B165" s="31" t="s">
        <v>159</v>
      </c>
      <c r="C165" s="24" t="s">
        <v>204</v>
      </c>
      <c r="D165" s="24"/>
      <c r="E165" s="326" t="s">
        <v>205</v>
      </c>
      <c r="F165" s="69">
        <v>229.99</v>
      </c>
      <c r="G165" s="368"/>
      <c r="H165" s="368"/>
      <c r="I165" s="524">
        <f t="shared" si="19"/>
        <v>0</v>
      </c>
      <c r="J165" s="369"/>
      <c r="K165" s="175"/>
      <c r="L165" s="379"/>
      <c r="M165" s="364" t="str">
        <f>SUMIFS(Vendas[Qtd], Vendas[Cód. do Produto], Precificação[[#This Row],[Cód. do Produto]], Vendas[Status], "Entregue") &amp; " unidade(s) vendida(s)"</f>
        <v>0 unidade(s) vendida(s)</v>
      </c>
      <c r="N165" s="387"/>
      <c r="O165" s="383"/>
      <c r="P165" s="393"/>
      <c r="Q165" s="383"/>
    </row>
    <row r="166" spans="1:17" s="229" customFormat="1" ht="27.75" customHeight="1" x14ac:dyDescent="0.25">
      <c r="A166" s="463"/>
      <c r="B166" s="31" t="s">
        <v>159</v>
      </c>
      <c r="C166" s="24" t="s">
        <v>202</v>
      </c>
      <c r="D166" s="24"/>
      <c r="E166" s="326" t="s">
        <v>203</v>
      </c>
      <c r="F166" s="69">
        <v>149.99</v>
      </c>
      <c r="G166" s="368"/>
      <c r="H166" s="368"/>
      <c r="I166" s="524">
        <f t="shared" si="19"/>
        <v>0</v>
      </c>
      <c r="J166" s="369"/>
      <c r="K166" s="175"/>
      <c r="L166" s="379"/>
      <c r="M166" s="364" t="str">
        <f>SUMIFS(Vendas[Qtd], Vendas[Cód. do Produto], Precificação[[#This Row],[Cód. do Produto]], Vendas[Status], "Entregue") &amp; " unidade(s) vendida(s)"</f>
        <v>0 unidade(s) vendida(s)</v>
      </c>
      <c r="N166" s="387"/>
      <c r="O166" s="383"/>
      <c r="P166" s="393"/>
      <c r="Q166" s="383"/>
    </row>
    <row r="167" spans="1:17" s="229" customFormat="1" ht="27.75" customHeight="1" x14ac:dyDescent="0.25">
      <c r="A167" s="463"/>
      <c r="B167" s="31" t="s">
        <v>159</v>
      </c>
      <c r="C167" s="24" t="s">
        <v>174</v>
      </c>
      <c r="D167" s="24"/>
      <c r="E167" s="326" t="s">
        <v>175</v>
      </c>
      <c r="F167" s="69">
        <v>322.86</v>
      </c>
      <c r="G167" s="368"/>
      <c r="H167" s="368"/>
      <c r="I167" s="524">
        <f t="shared" si="19"/>
        <v>0</v>
      </c>
      <c r="J167" s="369"/>
      <c r="K167" s="175"/>
      <c r="L167" s="379"/>
      <c r="M167" s="364" t="str">
        <f>SUMIFS(Vendas[Qtd], Vendas[Cód. do Produto], Precificação[[#This Row],[Cód. do Produto]], Vendas[Status], "Entregue") &amp; " unidade(s) vendida(s)"</f>
        <v>2 unidade(s) vendida(s)</v>
      </c>
      <c r="N167" s="387"/>
      <c r="O167" s="383"/>
      <c r="P167" s="393"/>
      <c r="Q167" s="383"/>
    </row>
    <row r="168" spans="1:17" s="229" customFormat="1" ht="27.75" customHeight="1" x14ac:dyDescent="0.25">
      <c r="A168" s="463"/>
      <c r="B168" s="31" t="s">
        <v>159</v>
      </c>
      <c r="C168" s="24" t="s">
        <v>194</v>
      </c>
      <c r="D168" s="24"/>
      <c r="E168" s="326" t="s">
        <v>195</v>
      </c>
      <c r="F168" s="69">
        <v>248</v>
      </c>
      <c r="G168" s="368"/>
      <c r="H168" s="368"/>
      <c r="I168" s="524">
        <f t="shared" si="19"/>
        <v>0</v>
      </c>
      <c r="J168" s="369"/>
      <c r="K168" s="175"/>
      <c r="L168" s="379"/>
      <c r="M168" s="364" t="str">
        <f>SUMIFS(Vendas[Qtd], Vendas[Cód. do Produto], Precificação[[#This Row],[Cód. do Produto]], Vendas[Status], "Entregue") &amp; " unidade(s) vendida(s)"</f>
        <v>0 unidade(s) vendida(s)</v>
      </c>
      <c r="N168" s="387"/>
      <c r="O168" s="383"/>
      <c r="P168" s="393"/>
      <c r="Q168" s="383"/>
    </row>
    <row r="169" spans="1:17" s="229" customFormat="1" ht="27.75" customHeight="1" x14ac:dyDescent="0.25">
      <c r="A169" s="463"/>
      <c r="B169" s="31" t="s">
        <v>159</v>
      </c>
      <c r="C169" s="24" t="s">
        <v>192</v>
      </c>
      <c r="D169" s="24"/>
      <c r="E169" s="326" t="s">
        <v>193</v>
      </c>
      <c r="F169" s="69">
        <v>984.99</v>
      </c>
      <c r="G169" s="368"/>
      <c r="H169" s="368"/>
      <c r="I169" s="524">
        <f t="shared" si="19"/>
        <v>0</v>
      </c>
      <c r="J169" s="369"/>
      <c r="K169" s="175"/>
      <c r="L169" s="377"/>
      <c r="M169" s="364" t="str">
        <f>SUMIFS(Vendas[Qtd], Vendas[Cód. do Produto], Precificação[[#This Row],[Cód. do Produto]], Vendas[Status], "Entregue") &amp; " unidade(s) vendida(s)"</f>
        <v>0 unidade(s) vendida(s)</v>
      </c>
      <c r="N169" s="387"/>
      <c r="O169" s="383"/>
      <c r="P169" s="393"/>
      <c r="Q169" s="383"/>
    </row>
    <row r="170" spans="1:17" s="229" customFormat="1" ht="27.75" customHeight="1" x14ac:dyDescent="0.25">
      <c r="A170" s="464"/>
      <c r="B170" s="31" t="s">
        <v>159</v>
      </c>
      <c r="C170" s="22" t="s">
        <v>146</v>
      </c>
      <c r="D170" s="22"/>
      <c r="E170" s="326" t="s">
        <v>147</v>
      </c>
      <c r="F170" s="69">
        <v>35</v>
      </c>
      <c r="G170" s="368"/>
      <c r="H170" s="368"/>
      <c r="I170" s="524">
        <f t="shared" si="19"/>
        <v>0</v>
      </c>
      <c r="J170" s="369"/>
      <c r="K170" s="175"/>
      <c r="L170" s="379"/>
      <c r="M170" s="364" t="str">
        <f>SUMIFS(Vendas[Qtd], Vendas[Cód. do Produto], Precificação[[#This Row],[Cód. do Produto]], Vendas[Status], "Entregue") &amp; " unidade(s) vendida(s)"</f>
        <v>0 unidade(s) vendida(s)</v>
      </c>
      <c r="N170" s="387"/>
      <c r="O170" s="383"/>
      <c r="P170" s="393"/>
      <c r="Q170" s="383"/>
    </row>
    <row r="171" spans="1:17" s="229" customFormat="1" ht="27.75" customHeight="1" x14ac:dyDescent="0.25">
      <c r="A171" s="464"/>
      <c r="B171" s="31" t="s">
        <v>159</v>
      </c>
      <c r="C171" s="22" t="s">
        <v>142</v>
      </c>
      <c r="D171" s="22"/>
      <c r="E171" s="326" t="s">
        <v>143</v>
      </c>
      <c r="F171" s="69">
        <v>35</v>
      </c>
      <c r="G171" s="368"/>
      <c r="H171" s="368"/>
      <c r="I171" s="524">
        <f t="shared" si="19"/>
        <v>0</v>
      </c>
      <c r="J171" s="369"/>
      <c r="K171" s="175"/>
      <c r="L171" s="379"/>
      <c r="M171" s="364" t="str">
        <f>SUMIFS(Vendas[Qtd], Vendas[Cód. do Produto], Precificação[[#This Row],[Cód. do Produto]], Vendas[Status], "Entregue") &amp; " unidade(s) vendida(s)"</f>
        <v>0 unidade(s) vendida(s)</v>
      </c>
      <c r="N171" s="387"/>
      <c r="O171" s="383"/>
      <c r="P171" s="393"/>
      <c r="Q171" s="383"/>
    </row>
    <row r="172" spans="1:17" s="397" customFormat="1" ht="27.75" customHeight="1" x14ac:dyDescent="0.25">
      <c r="A172" s="464"/>
      <c r="B172" s="31" t="s">
        <v>159</v>
      </c>
      <c r="C172" s="313" t="s">
        <v>148</v>
      </c>
      <c r="D172" s="313"/>
      <c r="E172" s="326" t="s">
        <v>149</v>
      </c>
      <c r="F172" s="69">
        <v>35</v>
      </c>
      <c r="G172" s="368"/>
      <c r="H172" s="368"/>
      <c r="I172" s="524">
        <f t="shared" si="19"/>
        <v>0</v>
      </c>
      <c r="J172" s="371"/>
      <c r="K172" s="370"/>
      <c r="L172" s="380"/>
      <c r="M172" s="364" t="str">
        <f>SUMIFS(Vendas[Qtd], Vendas[Cód. do Produto], Precificação[[#This Row],[Cód. do Produto]], Vendas[Status], "Entregue") &amp; " unidade(s) vendida(s)"</f>
        <v>0 unidade(s) vendida(s)</v>
      </c>
      <c r="N172" s="394"/>
      <c r="O172" s="395"/>
      <c r="P172" s="396"/>
      <c r="Q172" s="395"/>
    </row>
    <row r="173" spans="1:17" s="229" customFormat="1" ht="27.75" customHeight="1" x14ac:dyDescent="0.25">
      <c r="A173" s="463"/>
      <c r="B173" s="31" t="s">
        <v>159</v>
      </c>
      <c r="C173" s="24" t="s">
        <v>144</v>
      </c>
      <c r="D173" s="24"/>
      <c r="E173" s="326" t="s">
        <v>145</v>
      </c>
      <c r="F173" s="69">
        <v>35</v>
      </c>
      <c r="G173" s="368"/>
      <c r="H173" s="368"/>
      <c r="I173" s="524">
        <f t="shared" si="19"/>
        <v>0</v>
      </c>
      <c r="J173" s="369"/>
      <c r="K173" s="175"/>
      <c r="L173" s="379"/>
      <c r="M173" s="364" t="str">
        <f>SUMIFS(Vendas[Qtd], Vendas[Cód. do Produto], Precificação[[#This Row],[Cód. do Produto]], Vendas[Status], "Entregue") &amp; " unidade(s) vendida(s)"</f>
        <v>0 unidade(s) vendida(s)</v>
      </c>
      <c r="N173" s="387"/>
      <c r="O173" s="383"/>
      <c r="P173" s="393"/>
      <c r="Q173" s="383"/>
    </row>
    <row r="174" spans="1:17" s="229" customFormat="1" ht="27.75" customHeight="1" x14ac:dyDescent="0.25">
      <c r="A174" s="463"/>
      <c r="B174" s="31" t="s">
        <v>159</v>
      </c>
      <c r="C174" s="24" t="s">
        <v>168</v>
      </c>
      <c r="D174" s="24"/>
      <c r="E174" s="326" t="s">
        <v>169</v>
      </c>
      <c r="F174" s="69">
        <v>1820</v>
      </c>
      <c r="G174" s="368"/>
      <c r="H174" s="368"/>
      <c r="I174" s="524">
        <f t="shared" si="19"/>
        <v>0</v>
      </c>
      <c r="J174" s="369"/>
      <c r="K174" s="175"/>
      <c r="L174" s="379"/>
      <c r="M174" s="364" t="str">
        <f>SUMIFS(Vendas[Qtd], Vendas[Cód. do Produto], Precificação[[#This Row],[Cód. do Produto]], Vendas[Status], "Entregue") &amp; " unidade(s) vendida(s)"</f>
        <v>3 unidade(s) vendida(s)</v>
      </c>
      <c r="N174" s="387"/>
      <c r="O174" s="383"/>
      <c r="P174" s="393"/>
      <c r="Q174" s="383"/>
    </row>
    <row r="175" spans="1:17" s="229" customFormat="1" ht="27.75" customHeight="1" x14ac:dyDescent="0.25">
      <c r="A175" s="463"/>
      <c r="B175" s="31" t="s">
        <v>159</v>
      </c>
      <c r="C175" s="24" t="s">
        <v>196</v>
      </c>
      <c r="D175" s="24"/>
      <c r="E175" s="326" t="s">
        <v>197</v>
      </c>
      <c r="F175" s="69">
        <v>322.86</v>
      </c>
      <c r="G175" s="368"/>
      <c r="H175" s="368"/>
      <c r="I175" s="524">
        <f t="shared" si="19"/>
        <v>0</v>
      </c>
      <c r="J175" s="369"/>
      <c r="K175" s="175"/>
      <c r="L175" s="379"/>
      <c r="M175" s="364" t="str">
        <f>SUMIFS(Vendas[Qtd], Vendas[Cód. do Produto], Precificação[[#This Row],[Cód. do Produto]], Vendas[Status], "Entregue") &amp; " unidade(s) vendida(s)"</f>
        <v>0 unidade(s) vendida(s)</v>
      </c>
      <c r="N175" s="387"/>
      <c r="O175" s="383"/>
      <c r="P175" s="393"/>
      <c r="Q175" s="383"/>
    </row>
    <row r="176" spans="1:17" s="229" customFormat="1" ht="27.75" customHeight="1" x14ac:dyDescent="0.25">
      <c r="A176" s="463"/>
      <c r="B176" s="31" t="s">
        <v>159</v>
      </c>
      <c r="C176" s="24" t="s">
        <v>170</v>
      </c>
      <c r="D176" s="24"/>
      <c r="E176" s="326" t="s">
        <v>171</v>
      </c>
      <c r="F176" s="69">
        <v>1599.99</v>
      </c>
      <c r="G176" s="368"/>
      <c r="H176" s="368"/>
      <c r="I176" s="524">
        <f t="shared" si="19"/>
        <v>0</v>
      </c>
      <c r="J176" s="369"/>
      <c r="K176" s="175"/>
      <c r="L176" s="379"/>
      <c r="M176" s="364" t="str">
        <f>SUMIFS(Vendas[Qtd], Vendas[Cód. do Produto], Precificação[[#This Row],[Cód. do Produto]], Vendas[Status], "Entregue") &amp; " unidade(s) vendida(s)"</f>
        <v>3 unidade(s) vendida(s)</v>
      </c>
      <c r="N176" s="387"/>
      <c r="O176" s="383"/>
      <c r="P176" s="393"/>
      <c r="Q176" s="383"/>
    </row>
    <row r="177" spans="1:17" s="229" customFormat="1" ht="27.75" customHeight="1" x14ac:dyDescent="0.25">
      <c r="A177" s="463"/>
      <c r="B177" s="31" t="s">
        <v>159</v>
      </c>
      <c r="C177" s="24" t="s">
        <v>184</v>
      </c>
      <c r="D177" s="24"/>
      <c r="E177" s="326" t="s">
        <v>185</v>
      </c>
      <c r="F177" s="69">
        <v>9.99</v>
      </c>
      <c r="G177" s="368"/>
      <c r="H177" s="368"/>
      <c r="I177" s="524">
        <f t="shared" si="19"/>
        <v>0</v>
      </c>
      <c r="J177" s="369"/>
      <c r="K177" s="175"/>
      <c r="L177" s="379"/>
      <c r="M177" s="364" t="str">
        <f>SUMIFS(Vendas[Qtd], Vendas[Cód. do Produto], Precificação[[#This Row],[Cód. do Produto]], Vendas[Status], "Entregue") &amp; " unidade(s) vendida(s)"</f>
        <v>0 unidade(s) vendida(s)</v>
      </c>
      <c r="N177" s="387"/>
      <c r="O177" s="383"/>
      <c r="P177" s="393"/>
      <c r="Q177" s="383"/>
    </row>
    <row r="178" spans="1:17" s="229" customFormat="1" ht="27.75" customHeight="1" x14ac:dyDescent="0.25">
      <c r="A178" s="463"/>
      <c r="B178" s="31" t="s">
        <v>159</v>
      </c>
      <c r="C178" s="24" t="s">
        <v>178</v>
      </c>
      <c r="D178" s="24"/>
      <c r="E178" s="326" t="s">
        <v>179</v>
      </c>
      <c r="F178" s="69">
        <v>189.92</v>
      </c>
      <c r="G178" s="368"/>
      <c r="H178" s="368"/>
      <c r="I178" s="524">
        <f t="shared" si="19"/>
        <v>0</v>
      </c>
      <c r="J178" s="369"/>
      <c r="K178" s="175"/>
      <c r="L178" s="379"/>
      <c r="M178" s="364" t="str">
        <f>SUMIFS(Vendas[Qtd], Vendas[Cód. do Produto], Precificação[[#This Row],[Cód. do Produto]], Vendas[Status], "Entregue") &amp; " unidade(s) vendida(s)"</f>
        <v>1 unidade(s) vendida(s)</v>
      </c>
      <c r="N178" s="387"/>
      <c r="O178" s="383"/>
      <c r="P178" s="393"/>
      <c r="Q178" s="383"/>
    </row>
    <row r="179" spans="1:17" s="229" customFormat="1" ht="27.75" customHeight="1" x14ac:dyDescent="0.25">
      <c r="A179" s="463"/>
      <c r="B179" s="31" t="s">
        <v>159</v>
      </c>
      <c r="C179" s="24" t="s">
        <v>182</v>
      </c>
      <c r="D179" s="24"/>
      <c r="E179" s="326" t="s">
        <v>183</v>
      </c>
      <c r="F179" s="69">
        <v>529.99</v>
      </c>
      <c r="G179" s="368"/>
      <c r="H179" s="368"/>
      <c r="I179" s="524">
        <f t="shared" si="19"/>
        <v>0</v>
      </c>
      <c r="J179" s="369"/>
      <c r="K179" s="175"/>
      <c r="L179" s="379"/>
      <c r="M179" s="364" t="str">
        <f>SUMIFS(Vendas[Qtd], Vendas[Cód. do Produto], Precificação[[#This Row],[Cód. do Produto]], Vendas[Status], "Entregue") &amp; " unidade(s) vendida(s)"</f>
        <v>2 unidade(s) vendida(s)</v>
      </c>
      <c r="N179" s="387"/>
      <c r="O179" s="383"/>
      <c r="P179" s="393"/>
      <c r="Q179" s="383"/>
    </row>
    <row r="180" spans="1:17" ht="27.75" customHeight="1" x14ac:dyDescent="0.25">
      <c r="A180" s="465"/>
      <c r="B180" s="352"/>
      <c r="C180" s="353"/>
      <c r="D180" s="353"/>
      <c r="E180" s="354"/>
      <c r="F180" s="355"/>
      <c r="G180" s="356"/>
      <c r="H180" s="357"/>
      <c r="I180" s="358"/>
      <c r="J180" s="359"/>
      <c r="K180" s="360"/>
      <c r="L180" s="361"/>
      <c r="M180" s="405"/>
      <c r="N180" s="7"/>
      <c r="O180" s="6"/>
      <c r="P180" s="34"/>
      <c r="Q180" s="6"/>
    </row>
    <row r="181" spans="1:17" ht="27.75" customHeight="1" x14ac:dyDescent="0.25">
      <c r="A181" s="466"/>
      <c r="B181" s="38"/>
      <c r="C181" s="20"/>
      <c r="D181" s="20"/>
      <c r="E181" s="327"/>
      <c r="F181" s="331"/>
      <c r="G181" s="196"/>
      <c r="H181" s="32"/>
      <c r="I181" s="191"/>
      <c r="J181" s="189"/>
      <c r="K181" s="179"/>
      <c r="L181" s="182"/>
      <c r="M181" s="406"/>
      <c r="N181" s="7"/>
      <c r="O181" s="6"/>
      <c r="P181" s="34"/>
      <c r="Q181" s="6"/>
    </row>
    <row r="182" spans="1:17" ht="27.75" customHeight="1" x14ac:dyDescent="0.25">
      <c r="A182" s="466"/>
      <c r="B182" s="38"/>
      <c r="C182" s="20"/>
      <c r="D182" s="20"/>
      <c r="E182" s="327"/>
      <c r="F182" s="32"/>
      <c r="G182" s="196"/>
      <c r="H182" s="32"/>
      <c r="I182" s="191"/>
      <c r="J182" s="189"/>
      <c r="K182" s="179"/>
      <c r="L182" s="182"/>
      <c r="M182" s="406"/>
      <c r="N182" s="7"/>
      <c r="O182" s="6"/>
      <c r="P182" s="34"/>
      <c r="Q182" s="6"/>
    </row>
    <row r="183" spans="1:17" ht="27.75" customHeight="1" x14ac:dyDescent="0.25">
      <c r="A183" s="466"/>
      <c r="B183" s="38"/>
      <c r="C183" s="20"/>
      <c r="D183" s="20"/>
      <c r="E183" s="327"/>
      <c r="F183" s="32"/>
      <c r="G183" s="196"/>
      <c r="H183" s="32"/>
      <c r="I183" s="191"/>
      <c r="J183" s="189"/>
      <c r="K183" s="179"/>
      <c r="L183" s="182"/>
      <c r="M183" s="406"/>
      <c r="N183" s="7"/>
      <c r="O183" s="6"/>
      <c r="P183" s="34"/>
      <c r="Q183" s="6"/>
    </row>
    <row r="184" spans="1:17" ht="27.75" customHeight="1" x14ac:dyDescent="0.25">
      <c r="A184" s="466"/>
      <c r="B184" s="38"/>
      <c r="C184" s="20"/>
      <c r="D184" s="20"/>
      <c r="E184" s="327"/>
      <c r="F184" s="32"/>
      <c r="G184" s="196"/>
      <c r="H184" s="33"/>
      <c r="I184" s="192"/>
      <c r="J184" s="190"/>
      <c r="K184" s="180"/>
      <c r="L184" s="183"/>
      <c r="M184" s="407"/>
      <c r="N184" s="16"/>
      <c r="O184" s="8"/>
      <c r="P184" s="35"/>
      <c r="Q184" s="6"/>
    </row>
    <row r="185" spans="1:17" ht="27.75" customHeight="1" x14ac:dyDescent="0.25">
      <c r="A185" s="467"/>
      <c r="B185" s="39"/>
      <c r="C185" s="21"/>
      <c r="D185" s="21"/>
      <c r="E185" s="328"/>
      <c r="F185" s="33"/>
      <c r="G185" s="196"/>
      <c r="H185" s="33"/>
      <c r="I185" s="192"/>
      <c r="J185" s="190"/>
      <c r="K185" s="180"/>
      <c r="L185" s="183"/>
      <c r="M185" s="406"/>
      <c r="N185" s="7"/>
      <c r="O185" s="6"/>
      <c r="P185" s="6"/>
      <c r="Q185" s="6"/>
    </row>
    <row r="186" spans="1:17" ht="27.75" customHeight="1" x14ac:dyDescent="0.25">
      <c r="A186" s="468"/>
      <c r="B186" s="40"/>
      <c r="C186" s="7"/>
      <c r="D186" s="7"/>
      <c r="E186" s="329"/>
      <c r="F186" s="52"/>
      <c r="G186" s="196"/>
      <c r="H186" s="47"/>
      <c r="I186" s="193"/>
      <c r="J186" s="44"/>
      <c r="K186" s="181"/>
      <c r="L186" s="184"/>
      <c r="M186" s="406"/>
      <c r="N186" s="7"/>
      <c r="O186" s="6"/>
      <c r="P186" s="6"/>
      <c r="Q186" s="6"/>
    </row>
    <row r="187" spans="1:17" ht="27.75" customHeight="1" x14ac:dyDescent="0.25">
      <c r="A187" s="468"/>
      <c r="B187" s="40"/>
      <c r="C187" s="7"/>
      <c r="D187" s="7"/>
      <c r="E187" s="329"/>
      <c r="F187" s="52"/>
      <c r="G187" s="196"/>
      <c r="H187" s="47"/>
      <c r="I187" s="193"/>
      <c r="J187" s="44"/>
      <c r="K187" s="181"/>
      <c r="L187" s="184"/>
      <c r="M187" s="406"/>
      <c r="N187" s="7"/>
      <c r="O187" s="6"/>
      <c r="P187" s="6"/>
      <c r="Q187" s="6"/>
    </row>
    <row r="188" spans="1:17" ht="27.75" customHeight="1" x14ac:dyDescent="0.25">
      <c r="A188" s="468"/>
      <c r="B188" s="40"/>
      <c r="C188" s="7"/>
      <c r="D188" s="7"/>
      <c r="E188" s="329"/>
      <c r="F188" s="52"/>
      <c r="G188" s="196"/>
      <c r="H188" s="47"/>
      <c r="I188" s="193"/>
      <c r="J188" s="44"/>
      <c r="K188" s="181"/>
      <c r="L188" s="184"/>
      <c r="M188" s="406"/>
      <c r="N188" s="7"/>
      <c r="O188" s="6"/>
      <c r="P188" s="6"/>
      <c r="Q188" s="6"/>
    </row>
    <row r="189" spans="1:17" ht="27.75" customHeight="1" x14ac:dyDescent="0.25">
      <c r="A189" s="468"/>
      <c r="B189" s="40"/>
      <c r="C189" s="7"/>
      <c r="D189" s="7"/>
      <c r="E189" s="329"/>
      <c r="F189" s="52"/>
      <c r="G189" s="196"/>
      <c r="H189" s="47"/>
      <c r="I189" s="193"/>
      <c r="J189" s="44"/>
      <c r="K189" s="181"/>
      <c r="L189" s="184"/>
      <c r="M189" s="406"/>
      <c r="N189" s="7"/>
      <c r="O189" s="6"/>
      <c r="P189" s="6"/>
      <c r="Q189" s="6"/>
    </row>
    <row r="190" spans="1:17" ht="27.75" customHeight="1" x14ac:dyDescent="0.25">
      <c r="A190" s="468"/>
      <c r="B190" s="40"/>
      <c r="C190" s="7"/>
      <c r="D190" s="7"/>
      <c r="E190" s="329"/>
      <c r="F190" s="52"/>
      <c r="G190" s="196"/>
      <c r="H190" s="47"/>
      <c r="I190" s="193"/>
      <c r="J190" s="44"/>
      <c r="K190" s="181"/>
      <c r="L190" s="184"/>
      <c r="M190" s="406"/>
      <c r="N190" s="7"/>
      <c r="O190" s="6"/>
      <c r="P190" s="6"/>
      <c r="Q190" s="6"/>
    </row>
    <row r="191" spans="1:17" ht="27.75" customHeight="1" x14ac:dyDescent="0.25">
      <c r="A191" s="468"/>
      <c r="B191" s="40"/>
      <c r="C191" s="7"/>
      <c r="D191" s="7"/>
      <c r="E191" s="329"/>
      <c r="F191" s="52"/>
      <c r="G191" s="196"/>
      <c r="H191" s="47"/>
      <c r="I191" s="193"/>
      <c r="J191" s="44"/>
      <c r="K191" s="181"/>
      <c r="L191" s="184"/>
      <c r="M191" s="406"/>
      <c r="N191" s="7"/>
      <c r="O191" s="6"/>
      <c r="P191" s="6"/>
      <c r="Q191" s="6"/>
    </row>
    <row r="192" spans="1:17" ht="27.75" customHeight="1" thickBot="1" x14ac:dyDescent="0.3">
      <c r="A192" s="468"/>
      <c r="B192" s="40"/>
      <c r="C192" s="7"/>
      <c r="D192" s="7"/>
      <c r="E192" s="329"/>
      <c r="F192" s="411"/>
      <c r="G192" s="196"/>
      <c r="H192" s="47"/>
      <c r="I192" s="193"/>
      <c r="J192" s="44"/>
      <c r="K192" s="181"/>
      <c r="L192" s="184"/>
      <c r="M192" s="406"/>
      <c r="N192" s="7"/>
      <c r="O192" s="6"/>
      <c r="P192" s="6"/>
      <c r="Q192" s="6"/>
    </row>
    <row r="193" spans="1:17" ht="27.75" customHeight="1" thickTop="1" thickBot="1" x14ac:dyDescent="0.3">
      <c r="A193" s="468"/>
      <c r="B193" s="40"/>
      <c r="C193" s="7"/>
      <c r="D193" s="7"/>
      <c r="E193" s="413"/>
      <c r="F193" s="414"/>
      <c r="G193" s="410"/>
      <c r="H193" s="47"/>
      <c r="I193" s="193"/>
      <c r="J193" s="44"/>
      <c r="K193" s="181"/>
      <c r="L193" s="184"/>
      <c r="M193" s="406"/>
      <c r="N193" s="7"/>
      <c r="O193" s="6"/>
      <c r="P193" s="6"/>
      <c r="Q193" s="6"/>
    </row>
    <row r="194" spans="1:17" ht="27.75" customHeight="1" thickTop="1" x14ac:dyDescent="0.25">
      <c r="A194" s="468"/>
      <c r="B194" s="40"/>
      <c r="C194" s="7"/>
      <c r="D194" s="7"/>
      <c r="E194" s="329"/>
      <c r="F194" s="412"/>
      <c r="G194" s="196"/>
      <c r="H194" s="47"/>
      <c r="I194" s="193"/>
      <c r="J194" s="44"/>
      <c r="K194" s="181"/>
      <c r="L194" s="184"/>
      <c r="M194" s="406"/>
      <c r="N194" s="7"/>
      <c r="O194" s="6"/>
      <c r="P194" s="6"/>
      <c r="Q194" s="6"/>
    </row>
    <row r="195" spans="1:17" ht="27.75" customHeight="1" x14ac:dyDescent="0.25">
      <c r="A195" s="468"/>
      <c r="B195" s="40"/>
      <c r="C195" s="7"/>
      <c r="D195" s="7"/>
      <c r="E195" s="329"/>
      <c r="F195" s="52"/>
      <c r="G195" s="196"/>
      <c r="H195" s="47"/>
      <c r="I195" s="193"/>
      <c r="J195" s="44"/>
      <c r="K195" s="181"/>
      <c r="L195" s="184"/>
      <c r="M195" s="406"/>
      <c r="N195" s="7"/>
      <c r="O195" s="6"/>
      <c r="P195" s="6"/>
      <c r="Q195" s="6"/>
    </row>
    <row r="196" spans="1:17" ht="27.75" customHeight="1" x14ac:dyDescent="0.25">
      <c r="A196" s="468"/>
      <c r="B196" s="40"/>
      <c r="C196" s="7"/>
      <c r="D196" s="7"/>
      <c r="E196" s="329"/>
      <c r="F196" s="52"/>
      <c r="G196" s="196"/>
      <c r="H196" s="47"/>
      <c r="I196" s="193"/>
      <c r="J196" s="44"/>
      <c r="K196" s="181"/>
      <c r="L196" s="184"/>
      <c r="M196" s="406"/>
      <c r="N196" s="7"/>
      <c r="O196" s="6"/>
      <c r="P196" s="6"/>
      <c r="Q196" s="6"/>
    </row>
    <row r="197" spans="1:17" ht="27.75" customHeight="1" x14ac:dyDescent="0.25">
      <c r="A197" s="468"/>
      <c r="B197" s="40"/>
      <c r="C197" s="7"/>
      <c r="D197" s="7"/>
      <c r="E197" s="329"/>
      <c r="F197" s="52"/>
      <c r="G197" s="196"/>
      <c r="H197" s="47"/>
      <c r="I197" s="193"/>
      <c r="J197" s="44"/>
      <c r="K197" s="181"/>
      <c r="L197" s="184"/>
      <c r="M197" s="406"/>
      <c r="N197" s="7"/>
      <c r="O197" s="6"/>
      <c r="P197" s="6"/>
      <c r="Q197" s="6"/>
    </row>
    <row r="198" spans="1:17" ht="27.75" customHeight="1" x14ac:dyDescent="0.25">
      <c r="A198" s="468"/>
      <c r="B198" s="40"/>
      <c r="C198" s="7"/>
      <c r="D198" s="7"/>
      <c r="E198" s="329"/>
      <c r="F198" s="52"/>
      <c r="G198" s="196"/>
      <c r="H198" s="47"/>
      <c r="I198" s="193"/>
      <c r="J198" s="44"/>
      <c r="K198" s="181"/>
      <c r="L198" s="184"/>
      <c r="M198" s="406"/>
      <c r="N198" s="7"/>
      <c r="O198" s="6"/>
      <c r="P198" s="6"/>
      <c r="Q198" s="6"/>
    </row>
    <row r="199" spans="1:17" ht="27.75" customHeight="1" x14ac:dyDescent="0.25">
      <c r="A199" s="468"/>
      <c r="B199" s="40"/>
      <c r="C199" s="7"/>
      <c r="D199" s="7"/>
      <c r="E199" s="329"/>
      <c r="F199" s="52"/>
      <c r="G199" s="196"/>
      <c r="H199" s="47"/>
      <c r="I199" s="193"/>
      <c r="J199" s="44"/>
      <c r="K199" s="181"/>
      <c r="L199" s="184"/>
      <c r="M199" s="406"/>
      <c r="N199" s="7"/>
      <c r="O199" s="6"/>
      <c r="P199" s="6"/>
      <c r="Q199" s="6"/>
    </row>
    <row r="200" spans="1:17" ht="27.75" customHeight="1" x14ac:dyDescent="0.25">
      <c r="A200" s="468"/>
      <c r="B200" s="40"/>
      <c r="C200" s="7"/>
      <c r="D200" s="7"/>
      <c r="E200" s="329"/>
      <c r="F200" s="52"/>
      <c r="G200" s="196"/>
      <c r="H200" s="47"/>
      <c r="I200" s="193"/>
      <c r="J200" s="44"/>
      <c r="K200" s="181"/>
      <c r="L200" s="184"/>
      <c r="M200" s="406"/>
      <c r="N200" s="7"/>
      <c r="O200" s="6"/>
      <c r="P200" s="6"/>
      <c r="Q200" s="6"/>
    </row>
    <row r="201" spans="1:17" ht="27.75" customHeight="1" x14ac:dyDescent="0.25">
      <c r="A201" s="468"/>
      <c r="B201" s="40"/>
      <c r="C201" s="7"/>
      <c r="D201" s="7"/>
      <c r="E201" s="329"/>
      <c r="F201" s="52"/>
      <c r="G201" s="196"/>
      <c r="H201" s="47"/>
      <c r="I201" s="193"/>
      <c r="J201" s="44"/>
      <c r="K201" s="181"/>
      <c r="L201" s="184"/>
      <c r="M201" s="406"/>
      <c r="N201" s="7"/>
      <c r="O201" s="6"/>
      <c r="P201" s="6"/>
      <c r="Q201" s="6"/>
    </row>
    <row r="202" spans="1:17" ht="27.75" customHeight="1" x14ac:dyDescent="0.25">
      <c r="A202" s="468"/>
      <c r="B202" s="40"/>
      <c r="C202" s="7"/>
      <c r="D202" s="7"/>
      <c r="E202" s="329"/>
      <c r="F202" s="52"/>
      <c r="G202" s="196"/>
      <c r="H202" s="47"/>
      <c r="I202" s="193"/>
      <c r="J202" s="44"/>
      <c r="K202" s="181"/>
      <c r="L202" s="184"/>
      <c r="M202" s="406"/>
      <c r="N202" s="7"/>
      <c r="O202" s="6"/>
      <c r="P202" s="6"/>
      <c r="Q202" s="6"/>
    </row>
    <row r="203" spans="1:17" ht="27.75" customHeight="1" x14ac:dyDescent="0.25">
      <c r="A203" s="468"/>
      <c r="B203" s="40"/>
      <c r="C203" s="7"/>
      <c r="D203" s="7"/>
      <c r="E203" s="329"/>
      <c r="F203" s="52"/>
      <c r="G203" s="196"/>
      <c r="H203" s="47"/>
      <c r="I203" s="193"/>
      <c r="J203" s="44"/>
      <c r="K203" s="181"/>
      <c r="L203" s="184"/>
      <c r="M203" s="406"/>
      <c r="N203" s="7"/>
      <c r="O203" s="6"/>
      <c r="P203" s="6"/>
      <c r="Q203" s="6"/>
    </row>
    <row r="204" spans="1:17" ht="27.75" customHeight="1" x14ac:dyDescent="0.25">
      <c r="A204" s="468"/>
      <c r="B204" s="40"/>
      <c r="C204" s="7"/>
      <c r="D204" s="7"/>
      <c r="E204" s="329"/>
      <c r="F204" s="52"/>
      <c r="G204" s="196"/>
      <c r="H204" s="47"/>
      <c r="I204" s="193"/>
      <c r="J204" s="44"/>
      <c r="K204" s="181"/>
      <c r="L204" s="184"/>
      <c r="M204" s="406"/>
      <c r="N204" s="7"/>
      <c r="O204" s="6"/>
      <c r="P204" s="6"/>
      <c r="Q204" s="6"/>
    </row>
    <row r="205" spans="1:17" ht="27.75" customHeight="1" x14ac:dyDescent="0.25">
      <c r="A205" s="468"/>
      <c r="B205" s="40"/>
      <c r="C205" s="7"/>
      <c r="D205" s="7"/>
      <c r="E205" s="329"/>
      <c r="F205" s="52"/>
      <c r="G205" s="196"/>
      <c r="H205" s="47"/>
      <c r="I205" s="193"/>
      <c r="J205" s="44"/>
      <c r="K205" s="181"/>
      <c r="L205" s="184"/>
      <c r="M205" s="406"/>
      <c r="N205" s="7"/>
      <c r="O205" s="6"/>
      <c r="P205" s="6"/>
      <c r="Q205" s="6"/>
    </row>
    <row r="206" spans="1:17" ht="27.75" customHeight="1" x14ac:dyDescent="0.25">
      <c r="A206" s="468"/>
      <c r="B206" s="40"/>
      <c r="C206" s="7"/>
      <c r="D206" s="7"/>
      <c r="E206" s="329"/>
      <c r="F206" s="52"/>
      <c r="G206" s="196"/>
      <c r="H206" s="47"/>
      <c r="I206" s="193"/>
      <c r="J206" s="44"/>
      <c r="K206" s="181"/>
      <c r="L206" s="184"/>
      <c r="M206" s="406"/>
      <c r="N206" s="7"/>
      <c r="O206" s="6"/>
      <c r="P206" s="6"/>
      <c r="Q206" s="6"/>
    </row>
    <row r="207" spans="1:17" ht="27.75" customHeight="1" x14ac:dyDescent="0.25">
      <c r="A207" s="468"/>
      <c r="B207" s="40"/>
      <c r="C207" s="7"/>
      <c r="D207" s="7"/>
      <c r="E207" s="329"/>
      <c r="F207" s="52"/>
      <c r="G207" s="196"/>
      <c r="H207" s="47"/>
      <c r="I207" s="193"/>
      <c r="J207" s="44"/>
      <c r="K207" s="181"/>
      <c r="L207" s="184"/>
      <c r="M207" s="406"/>
      <c r="N207" s="7"/>
      <c r="O207" s="6"/>
      <c r="P207" s="6"/>
      <c r="Q207" s="6"/>
    </row>
    <row r="208" spans="1:17" ht="27.75" customHeight="1" x14ac:dyDescent="0.25">
      <c r="A208" s="468"/>
      <c r="B208" s="40"/>
      <c r="C208" s="7"/>
      <c r="D208" s="7"/>
      <c r="E208" s="329"/>
      <c r="F208" s="52"/>
      <c r="G208" s="196"/>
      <c r="H208" s="47"/>
      <c r="I208" s="193"/>
      <c r="J208" s="44"/>
      <c r="K208" s="181"/>
      <c r="L208" s="184"/>
      <c r="M208" s="406"/>
      <c r="N208" s="7"/>
      <c r="O208" s="6"/>
      <c r="P208" s="6"/>
      <c r="Q208" s="6"/>
    </row>
    <row r="209" spans="1:17" ht="27.75" customHeight="1" x14ac:dyDescent="0.25">
      <c r="A209" s="468"/>
      <c r="B209" s="40"/>
      <c r="C209" s="7"/>
      <c r="D209" s="7"/>
      <c r="E209" s="329"/>
      <c r="F209" s="52"/>
      <c r="G209" s="196"/>
      <c r="H209" s="47"/>
      <c r="I209" s="193"/>
      <c r="J209" s="44"/>
      <c r="K209" s="181"/>
      <c r="L209" s="184"/>
      <c r="M209" s="406"/>
      <c r="N209" s="7"/>
      <c r="O209" s="6"/>
      <c r="P209" s="6"/>
      <c r="Q209" s="6"/>
    </row>
    <row r="210" spans="1:17" ht="27.75" customHeight="1" x14ac:dyDescent="0.25">
      <c r="A210" s="468"/>
      <c r="B210" s="40"/>
      <c r="C210" s="7"/>
      <c r="D210" s="7"/>
      <c r="E210" s="329"/>
      <c r="F210" s="52"/>
      <c r="G210" s="196"/>
      <c r="H210" s="47"/>
      <c r="I210" s="193"/>
      <c r="J210" s="44"/>
      <c r="K210" s="176"/>
      <c r="L210" s="184"/>
      <c r="M210" s="406"/>
      <c r="N210" s="7"/>
      <c r="O210" s="6"/>
      <c r="P210" s="6"/>
      <c r="Q210" s="6"/>
    </row>
    <row r="211" spans="1:17" ht="27.75" customHeight="1" x14ac:dyDescent="0.25">
      <c r="A211" s="468"/>
      <c r="B211" s="40"/>
      <c r="C211" s="7"/>
      <c r="D211" s="7"/>
      <c r="E211" s="329"/>
      <c r="F211" s="52"/>
      <c r="G211" s="196"/>
      <c r="H211" s="47"/>
      <c r="I211" s="193"/>
      <c r="J211" s="44"/>
      <c r="K211" s="176"/>
      <c r="L211" s="184"/>
      <c r="M211" s="406"/>
      <c r="N211" s="7"/>
      <c r="O211" s="6"/>
      <c r="P211" s="6"/>
      <c r="Q211" s="6"/>
    </row>
    <row r="212" spans="1:17" ht="27.75" customHeight="1" x14ac:dyDescent="0.25">
      <c r="A212" s="468"/>
      <c r="B212" s="40"/>
      <c r="C212" s="7"/>
      <c r="D212" s="7"/>
      <c r="E212" s="329"/>
      <c r="F212" s="52"/>
      <c r="G212" s="196"/>
      <c r="H212" s="47"/>
      <c r="I212" s="193"/>
      <c r="J212" s="44"/>
      <c r="K212" s="176"/>
      <c r="L212" s="184"/>
      <c r="M212" s="406"/>
      <c r="N212" s="7"/>
      <c r="O212" s="6"/>
      <c r="P212" s="6"/>
      <c r="Q212" s="6"/>
    </row>
    <row r="213" spans="1:17" ht="27.75" customHeight="1" x14ac:dyDescent="0.25">
      <c r="A213" s="468"/>
      <c r="B213" s="40"/>
      <c r="C213" s="7"/>
      <c r="D213" s="7"/>
      <c r="E213" s="329"/>
      <c r="F213" s="52"/>
      <c r="G213" s="196"/>
      <c r="H213" s="47"/>
      <c r="I213" s="193"/>
      <c r="J213" s="44"/>
      <c r="K213" s="176"/>
      <c r="L213" s="184"/>
      <c r="M213" s="406"/>
      <c r="N213" s="7"/>
      <c r="O213" s="6"/>
      <c r="P213" s="6"/>
      <c r="Q213" s="6"/>
    </row>
    <row r="214" spans="1:17" ht="27.75" customHeight="1" x14ac:dyDescent="0.25">
      <c r="A214" s="468"/>
      <c r="B214" s="40"/>
      <c r="C214" s="7"/>
      <c r="D214" s="7"/>
      <c r="E214" s="329"/>
      <c r="F214" s="52"/>
      <c r="G214" s="196"/>
      <c r="H214" s="47"/>
      <c r="I214" s="193"/>
      <c r="J214" s="44"/>
      <c r="K214" s="176"/>
      <c r="L214" s="184"/>
      <c r="M214" s="406"/>
      <c r="N214" s="7"/>
      <c r="O214" s="6"/>
      <c r="P214" s="6"/>
      <c r="Q214" s="6"/>
    </row>
    <row r="215" spans="1:17" ht="27.75" customHeight="1" x14ac:dyDescent="0.25">
      <c r="A215" s="468"/>
      <c r="B215" s="40"/>
      <c r="C215" s="7"/>
      <c r="D215" s="7"/>
      <c r="E215" s="329"/>
      <c r="F215" s="52"/>
      <c r="G215" s="196"/>
      <c r="H215" s="47"/>
      <c r="I215" s="193"/>
      <c r="J215" s="44"/>
      <c r="K215" s="176"/>
      <c r="L215" s="184"/>
      <c r="M215" s="406"/>
      <c r="N215" s="7"/>
      <c r="O215" s="6"/>
      <c r="P215" s="6"/>
      <c r="Q215" s="6"/>
    </row>
    <row r="216" spans="1:17" ht="27.75" customHeight="1" x14ac:dyDescent="0.25">
      <c r="A216" s="468"/>
      <c r="B216" s="40"/>
      <c r="C216" s="7"/>
      <c r="D216" s="7"/>
      <c r="E216" s="329"/>
      <c r="F216" s="52"/>
      <c r="G216" s="196"/>
      <c r="H216" s="47"/>
      <c r="I216" s="193"/>
      <c r="J216" s="44"/>
      <c r="K216" s="176"/>
      <c r="L216" s="184"/>
      <c r="M216" s="406"/>
      <c r="N216" s="7"/>
      <c r="O216" s="6"/>
      <c r="P216" s="6"/>
      <c r="Q216" s="6"/>
    </row>
    <row r="217" spans="1:17" ht="27.75" customHeight="1" x14ac:dyDescent="0.25">
      <c r="A217" s="468"/>
      <c r="B217" s="40"/>
      <c r="C217" s="7"/>
      <c r="D217" s="7"/>
      <c r="E217" s="329"/>
      <c r="F217" s="52"/>
      <c r="G217" s="196"/>
      <c r="H217" s="47"/>
      <c r="I217" s="193"/>
      <c r="J217" s="44"/>
      <c r="K217" s="176"/>
      <c r="L217" s="184"/>
      <c r="M217" s="406"/>
      <c r="N217" s="7"/>
      <c r="O217" s="6"/>
      <c r="P217" s="6"/>
      <c r="Q217" s="6"/>
    </row>
    <row r="218" spans="1:17" ht="27.75" customHeight="1" x14ac:dyDescent="0.25">
      <c r="A218" s="468"/>
      <c r="B218" s="40"/>
      <c r="C218" s="7"/>
      <c r="D218" s="7"/>
      <c r="E218" s="329"/>
      <c r="F218" s="52"/>
      <c r="G218" s="28"/>
      <c r="H218" s="47"/>
      <c r="I218" s="193"/>
      <c r="J218" s="44"/>
      <c r="K218" s="176"/>
      <c r="L218" s="184"/>
      <c r="M218" s="406"/>
      <c r="N218" s="7"/>
      <c r="O218" s="6"/>
      <c r="P218" s="6"/>
      <c r="Q218" s="6"/>
    </row>
    <row r="219" spans="1:17" ht="27.75" customHeight="1" x14ac:dyDescent="0.25">
      <c r="A219" s="468"/>
      <c r="B219" s="40"/>
      <c r="C219" s="7"/>
      <c r="D219" s="7"/>
      <c r="E219" s="329"/>
      <c r="F219" s="52"/>
      <c r="G219" s="28"/>
      <c r="H219" s="47"/>
      <c r="I219" s="193"/>
      <c r="J219" s="44"/>
      <c r="K219" s="176"/>
      <c r="L219" s="184"/>
      <c r="M219" s="406"/>
      <c r="N219" s="7"/>
      <c r="O219" s="6"/>
      <c r="P219" s="6"/>
      <c r="Q219" s="6"/>
    </row>
    <row r="220" spans="1:17" ht="27.75" customHeight="1" x14ac:dyDescent="0.25">
      <c r="A220" s="468"/>
      <c r="B220" s="40"/>
      <c r="C220" s="7"/>
      <c r="D220" s="7"/>
      <c r="E220" s="329"/>
      <c r="F220" s="52"/>
      <c r="G220" s="28"/>
      <c r="H220" s="47"/>
      <c r="I220" s="193"/>
      <c r="J220" s="44"/>
      <c r="K220" s="176"/>
      <c r="L220" s="184"/>
      <c r="M220" s="406"/>
      <c r="N220" s="7"/>
      <c r="O220" s="6"/>
      <c r="P220" s="6"/>
      <c r="Q220" s="6"/>
    </row>
    <row r="221" spans="1:17" ht="27.75" customHeight="1" x14ac:dyDescent="0.25">
      <c r="A221" s="468"/>
      <c r="B221" s="40"/>
      <c r="C221" s="7"/>
      <c r="D221" s="7"/>
      <c r="E221" s="329"/>
      <c r="F221" s="52"/>
      <c r="G221" s="28"/>
      <c r="H221" s="47"/>
      <c r="I221" s="193"/>
      <c r="J221" s="44"/>
      <c r="K221" s="176"/>
      <c r="L221" s="184"/>
      <c r="M221" s="406"/>
      <c r="N221" s="7"/>
      <c r="O221" s="6"/>
      <c r="P221" s="6"/>
      <c r="Q221" s="6"/>
    </row>
    <row r="222" spans="1:17" ht="27.75" customHeight="1" x14ac:dyDescent="0.25">
      <c r="A222" s="468"/>
      <c r="B222" s="40"/>
      <c r="C222" s="7"/>
      <c r="D222" s="7"/>
      <c r="E222" s="329"/>
      <c r="F222" s="52"/>
      <c r="G222" s="28"/>
      <c r="H222" s="47"/>
      <c r="I222" s="193"/>
      <c r="J222" s="44"/>
      <c r="K222" s="176"/>
      <c r="L222" s="184"/>
      <c r="M222" s="406"/>
      <c r="N222" s="7"/>
      <c r="O222" s="6"/>
      <c r="P222" s="6"/>
      <c r="Q222" s="6"/>
    </row>
    <row r="223" spans="1:17" ht="27.75" customHeight="1" x14ac:dyDescent="0.25">
      <c r="A223" s="468"/>
      <c r="B223" s="40"/>
      <c r="C223" s="7"/>
      <c r="D223" s="7"/>
      <c r="E223" s="329"/>
      <c r="F223" s="52"/>
      <c r="G223" s="28"/>
      <c r="H223" s="47"/>
      <c r="I223" s="193"/>
      <c r="J223" s="44"/>
      <c r="K223" s="176"/>
      <c r="L223" s="184"/>
      <c r="M223" s="406"/>
      <c r="N223" s="7"/>
      <c r="O223" s="6"/>
      <c r="P223" s="6"/>
      <c r="Q223" s="6"/>
    </row>
    <row r="224" spans="1:17" ht="27.75" customHeight="1" x14ac:dyDescent="0.25">
      <c r="A224" s="468"/>
      <c r="B224" s="40"/>
      <c r="C224" s="7"/>
      <c r="D224" s="7"/>
      <c r="E224" s="329"/>
      <c r="F224" s="52"/>
      <c r="G224" s="28"/>
      <c r="H224" s="47"/>
      <c r="I224" s="193"/>
      <c r="J224" s="44"/>
      <c r="K224" s="176"/>
      <c r="L224" s="184"/>
      <c r="M224" s="406"/>
      <c r="N224" s="7"/>
      <c r="O224" s="6"/>
      <c r="P224" s="6"/>
      <c r="Q224" s="6"/>
    </row>
    <row r="225" spans="1:17" ht="27.75" customHeight="1" x14ac:dyDescent="0.25">
      <c r="A225" s="468"/>
      <c r="B225" s="40"/>
      <c r="C225" s="7"/>
      <c r="D225" s="7"/>
      <c r="E225" s="329"/>
      <c r="F225" s="52"/>
      <c r="G225" s="28"/>
      <c r="H225" s="47"/>
      <c r="I225" s="193"/>
      <c r="J225" s="44"/>
      <c r="K225" s="176"/>
      <c r="L225" s="184"/>
      <c r="M225" s="406"/>
      <c r="N225" s="7"/>
      <c r="O225" s="6"/>
      <c r="P225" s="6"/>
      <c r="Q225" s="6"/>
    </row>
    <row r="226" spans="1:17" ht="27.75" customHeight="1" x14ac:dyDescent="0.25">
      <c r="A226" s="468"/>
      <c r="B226" s="40"/>
      <c r="C226" s="7"/>
      <c r="D226" s="7"/>
      <c r="E226" s="329"/>
      <c r="F226" s="52"/>
      <c r="G226" s="28"/>
      <c r="H226" s="47"/>
      <c r="I226" s="193"/>
      <c r="J226" s="44"/>
      <c r="K226" s="176"/>
      <c r="L226" s="184"/>
      <c r="M226" s="406"/>
      <c r="N226" s="7"/>
      <c r="O226" s="6"/>
      <c r="P226" s="6"/>
      <c r="Q226" s="6"/>
    </row>
    <row r="227" spans="1:17" ht="27.75" customHeight="1" x14ac:dyDescent="0.25">
      <c r="A227" s="468"/>
      <c r="B227" s="40"/>
      <c r="C227" s="7"/>
      <c r="D227" s="7"/>
      <c r="E227" s="329"/>
      <c r="F227" s="52"/>
      <c r="G227" s="28"/>
      <c r="H227" s="47"/>
      <c r="I227" s="193"/>
      <c r="J227" s="44"/>
      <c r="K227" s="176"/>
      <c r="L227" s="184"/>
      <c r="M227" s="406"/>
      <c r="N227" s="7"/>
      <c r="O227" s="6"/>
      <c r="P227" s="6"/>
      <c r="Q227" s="6"/>
    </row>
    <row r="228" spans="1:17" ht="27.75" customHeight="1" x14ac:dyDescent="0.25">
      <c r="A228" s="468"/>
      <c r="B228" s="40"/>
      <c r="C228" s="7"/>
      <c r="D228" s="7"/>
      <c r="E228" s="329"/>
      <c r="F228" s="52"/>
      <c r="G228" s="28"/>
      <c r="H228" s="47"/>
      <c r="I228" s="193"/>
      <c r="J228" s="44"/>
      <c r="K228" s="176"/>
      <c r="L228" s="184"/>
      <c r="M228" s="406"/>
      <c r="N228" s="7"/>
      <c r="O228" s="6"/>
      <c r="P228" s="6"/>
      <c r="Q228" s="6"/>
    </row>
    <row r="229" spans="1:17" ht="27.75" customHeight="1" x14ac:dyDescent="0.25">
      <c r="A229" s="468"/>
      <c r="B229" s="40"/>
      <c r="C229" s="7"/>
      <c r="D229" s="7"/>
      <c r="E229" s="329"/>
      <c r="F229" s="52"/>
      <c r="G229" s="28"/>
      <c r="H229" s="47"/>
      <c r="I229" s="193"/>
      <c r="J229" s="44"/>
      <c r="K229" s="176"/>
      <c r="L229" s="184"/>
      <c r="M229" s="406"/>
      <c r="N229" s="7"/>
      <c r="O229" s="6"/>
      <c r="P229" s="6"/>
      <c r="Q229" s="6"/>
    </row>
    <row r="230" spans="1:17" ht="27.75" customHeight="1" x14ac:dyDescent="0.25">
      <c r="A230" s="468"/>
      <c r="B230" s="40"/>
      <c r="C230" s="7"/>
      <c r="D230" s="7"/>
      <c r="E230" s="329"/>
      <c r="F230" s="52"/>
      <c r="G230" s="28"/>
      <c r="H230" s="47"/>
      <c r="I230" s="193"/>
      <c r="J230" s="44"/>
      <c r="K230" s="176"/>
      <c r="L230" s="184"/>
      <c r="M230" s="406"/>
      <c r="N230" s="7"/>
      <c r="O230" s="6"/>
      <c r="P230" s="6"/>
      <c r="Q230" s="6"/>
    </row>
    <row r="231" spans="1:17" ht="27.75" customHeight="1" x14ac:dyDescent="0.25">
      <c r="A231" s="468"/>
      <c r="B231" s="40"/>
      <c r="C231" s="7"/>
      <c r="D231" s="7"/>
      <c r="E231" s="329"/>
      <c r="F231" s="52"/>
      <c r="G231" s="28"/>
      <c r="H231" s="47"/>
      <c r="I231" s="193"/>
      <c r="J231" s="44"/>
      <c r="K231" s="176"/>
      <c r="L231" s="184"/>
      <c r="M231" s="406"/>
      <c r="N231" s="7"/>
      <c r="O231" s="6"/>
      <c r="P231" s="6"/>
      <c r="Q231" s="6"/>
    </row>
    <row r="232" spans="1:17" ht="27.75" customHeight="1" x14ac:dyDescent="0.25">
      <c r="A232" s="468"/>
      <c r="B232" s="40"/>
      <c r="C232" s="7"/>
      <c r="D232" s="7"/>
      <c r="E232" s="329"/>
      <c r="F232" s="52"/>
      <c r="G232" s="28"/>
      <c r="H232" s="47"/>
      <c r="I232" s="193"/>
      <c r="J232" s="44"/>
      <c r="K232" s="176"/>
      <c r="L232" s="184"/>
      <c r="M232" s="406"/>
      <c r="N232" s="7"/>
      <c r="O232" s="6"/>
      <c r="P232" s="6"/>
      <c r="Q232" s="6"/>
    </row>
    <row r="233" spans="1:17" ht="27.75" customHeight="1" x14ac:dyDescent="0.25">
      <c r="A233" s="468"/>
      <c r="B233" s="40"/>
      <c r="C233" s="7"/>
      <c r="D233" s="7"/>
      <c r="E233" s="329"/>
      <c r="F233" s="52"/>
      <c r="G233" s="28"/>
      <c r="H233" s="47"/>
      <c r="I233" s="193"/>
      <c r="J233" s="44"/>
      <c r="K233" s="176"/>
      <c r="L233" s="184"/>
      <c r="M233" s="406"/>
      <c r="N233" s="7"/>
      <c r="O233" s="6"/>
      <c r="P233" s="6"/>
      <c r="Q233" s="6"/>
    </row>
    <row r="234" spans="1:17" ht="27.75" customHeight="1" x14ac:dyDescent="0.25">
      <c r="A234" s="468"/>
      <c r="B234" s="40"/>
      <c r="C234" s="7"/>
      <c r="D234" s="7"/>
      <c r="E234" s="329"/>
      <c r="F234" s="52"/>
      <c r="G234" s="28"/>
      <c r="H234" s="47"/>
      <c r="I234" s="193"/>
      <c r="J234" s="44"/>
      <c r="K234" s="176"/>
      <c r="L234" s="184"/>
      <c r="M234" s="406"/>
      <c r="N234" s="7"/>
      <c r="O234" s="6"/>
      <c r="P234" s="6"/>
      <c r="Q234" s="6"/>
    </row>
    <row r="235" spans="1:17" ht="27.75" customHeight="1" x14ac:dyDescent="0.25">
      <c r="A235" s="468"/>
      <c r="B235" s="40"/>
      <c r="C235" s="7"/>
      <c r="D235" s="7"/>
      <c r="E235" s="329"/>
      <c r="F235" s="52"/>
      <c r="G235" s="28"/>
      <c r="H235" s="47"/>
      <c r="I235" s="193"/>
      <c r="J235" s="44"/>
      <c r="K235" s="176"/>
      <c r="L235" s="184"/>
      <c r="M235" s="406"/>
      <c r="N235" s="7"/>
      <c r="O235" s="6"/>
      <c r="P235" s="6"/>
      <c r="Q235" s="6"/>
    </row>
    <row r="236" spans="1:17" ht="27.75" customHeight="1" x14ac:dyDescent="0.25">
      <c r="A236" s="468"/>
      <c r="B236" s="40"/>
      <c r="C236" s="7"/>
      <c r="D236" s="7"/>
      <c r="E236" s="329"/>
      <c r="F236" s="52"/>
      <c r="G236" s="28"/>
      <c r="H236" s="47"/>
      <c r="I236" s="193"/>
      <c r="J236" s="44"/>
      <c r="K236" s="176"/>
      <c r="L236" s="184"/>
      <c r="M236" s="406"/>
      <c r="N236" s="7"/>
      <c r="O236" s="6"/>
      <c r="P236" s="6"/>
      <c r="Q236" s="6"/>
    </row>
    <row r="237" spans="1:17" ht="27.75" customHeight="1" x14ac:dyDescent="0.25">
      <c r="A237" s="468"/>
      <c r="B237" s="40"/>
      <c r="C237" s="7"/>
      <c r="D237" s="7"/>
      <c r="E237" s="329"/>
      <c r="F237" s="52"/>
      <c r="G237" s="28"/>
      <c r="H237" s="47"/>
      <c r="I237" s="193"/>
      <c r="J237" s="44"/>
      <c r="K237" s="176"/>
      <c r="L237" s="184"/>
      <c r="M237" s="406"/>
      <c r="N237" s="7"/>
      <c r="O237" s="6"/>
      <c r="P237" s="6"/>
      <c r="Q237" s="6"/>
    </row>
    <row r="238" spans="1:17" ht="27.75" customHeight="1" x14ac:dyDescent="0.25">
      <c r="A238" s="468"/>
      <c r="B238" s="40"/>
      <c r="C238" s="7"/>
      <c r="D238" s="7"/>
      <c r="E238" s="329"/>
      <c r="F238" s="52"/>
      <c r="G238" s="28"/>
      <c r="H238" s="47"/>
      <c r="I238" s="193"/>
      <c r="J238" s="44"/>
      <c r="K238" s="176"/>
      <c r="L238" s="184"/>
      <c r="M238" s="406"/>
      <c r="N238" s="7"/>
      <c r="O238" s="6"/>
      <c r="P238" s="6"/>
      <c r="Q238" s="6"/>
    </row>
    <row r="239" spans="1:17" ht="27.75" customHeight="1" x14ac:dyDescent="0.25">
      <c r="A239" s="468"/>
      <c r="B239" s="40"/>
      <c r="C239" s="7"/>
      <c r="D239" s="7"/>
      <c r="E239" s="329"/>
      <c r="F239" s="52"/>
      <c r="G239" s="28"/>
      <c r="H239" s="47"/>
      <c r="I239" s="193"/>
      <c r="J239" s="44"/>
      <c r="K239" s="176"/>
      <c r="L239" s="184"/>
      <c r="M239" s="406"/>
      <c r="N239" s="7"/>
      <c r="O239" s="6"/>
      <c r="P239" s="6"/>
      <c r="Q239" s="6"/>
    </row>
    <row r="240" spans="1:17" ht="27.75" customHeight="1" x14ac:dyDescent="0.25">
      <c r="A240" s="468"/>
      <c r="B240" s="40"/>
      <c r="C240" s="7"/>
      <c r="D240" s="7"/>
      <c r="E240" s="329"/>
      <c r="F240" s="52"/>
      <c r="G240" s="28"/>
      <c r="H240" s="47"/>
      <c r="I240" s="193"/>
      <c r="J240" s="44"/>
      <c r="K240" s="176"/>
      <c r="L240" s="184"/>
      <c r="M240" s="406"/>
      <c r="N240" s="7"/>
      <c r="O240" s="6"/>
      <c r="P240" s="6"/>
      <c r="Q240" s="6"/>
    </row>
    <row r="241" spans="1:17" ht="27.75" customHeight="1" x14ac:dyDescent="0.25">
      <c r="A241" s="468"/>
      <c r="B241" s="40"/>
      <c r="C241" s="7"/>
      <c r="D241" s="7"/>
      <c r="E241" s="329"/>
      <c r="F241" s="52"/>
      <c r="G241" s="28"/>
      <c r="H241" s="47"/>
      <c r="I241" s="193"/>
      <c r="J241" s="44"/>
      <c r="K241" s="176"/>
      <c r="L241" s="184"/>
      <c r="M241" s="406"/>
      <c r="N241" s="7"/>
      <c r="O241" s="6"/>
      <c r="P241" s="6"/>
      <c r="Q241" s="6"/>
    </row>
    <row r="242" spans="1:17" ht="27.75" customHeight="1" x14ac:dyDescent="0.25">
      <c r="A242" s="468"/>
      <c r="B242" s="40"/>
      <c r="C242" s="7"/>
      <c r="D242" s="7"/>
      <c r="E242" s="329"/>
      <c r="F242" s="52"/>
      <c r="G242" s="28"/>
      <c r="H242" s="47"/>
      <c r="I242" s="193"/>
      <c r="J242" s="44"/>
      <c r="K242" s="176"/>
      <c r="L242" s="184"/>
      <c r="M242" s="406"/>
      <c r="N242" s="7"/>
      <c r="O242" s="6"/>
      <c r="P242" s="6"/>
      <c r="Q242" s="6"/>
    </row>
    <row r="243" spans="1:17" ht="27.75" customHeight="1" x14ac:dyDescent="0.25">
      <c r="A243" s="468"/>
      <c r="B243" s="40"/>
      <c r="C243" s="7"/>
      <c r="D243" s="7"/>
      <c r="E243" s="329"/>
      <c r="F243" s="52"/>
      <c r="G243" s="28"/>
      <c r="H243" s="47"/>
      <c r="I243" s="193"/>
      <c r="J243" s="44"/>
      <c r="K243" s="176"/>
      <c r="L243" s="184"/>
      <c r="M243" s="406"/>
      <c r="N243" s="7"/>
      <c r="O243" s="6"/>
      <c r="P243" s="6"/>
      <c r="Q243" s="6"/>
    </row>
    <row r="244" spans="1:17" ht="27.75" customHeight="1" x14ac:dyDescent="0.25">
      <c r="A244" s="468"/>
      <c r="B244" s="40"/>
      <c r="C244" s="7"/>
      <c r="D244" s="7"/>
      <c r="E244" s="329"/>
      <c r="F244" s="52"/>
      <c r="G244" s="28"/>
      <c r="H244" s="47"/>
      <c r="I244" s="193"/>
      <c r="J244" s="44"/>
      <c r="K244" s="176"/>
      <c r="L244" s="184"/>
      <c r="M244" s="406"/>
      <c r="N244" s="7"/>
      <c r="O244" s="6"/>
      <c r="P244" s="6"/>
      <c r="Q244" s="6"/>
    </row>
    <row r="245" spans="1:17" ht="27.75" customHeight="1" x14ac:dyDescent="0.25">
      <c r="A245" s="468"/>
      <c r="B245" s="40"/>
      <c r="C245" s="7"/>
      <c r="D245" s="7"/>
      <c r="E245" s="329"/>
      <c r="F245" s="52"/>
      <c r="G245" s="28"/>
      <c r="H245" s="47"/>
      <c r="I245" s="193"/>
      <c r="J245" s="44"/>
      <c r="K245" s="176"/>
      <c r="L245" s="184"/>
      <c r="M245" s="406"/>
      <c r="N245" s="7"/>
      <c r="O245" s="6"/>
      <c r="P245" s="6"/>
      <c r="Q245" s="6"/>
    </row>
    <row r="246" spans="1:17" ht="27.75" customHeight="1" x14ac:dyDescent="0.25">
      <c r="A246" s="468"/>
      <c r="B246" s="40"/>
      <c r="C246" s="7"/>
      <c r="D246" s="7"/>
      <c r="E246" s="329"/>
      <c r="F246" s="52"/>
      <c r="G246" s="28"/>
      <c r="H246" s="47"/>
      <c r="I246" s="193"/>
      <c r="J246" s="44"/>
      <c r="K246" s="176"/>
      <c r="L246" s="184"/>
      <c r="M246" s="406"/>
      <c r="N246" s="7"/>
      <c r="O246" s="6"/>
      <c r="P246" s="6"/>
      <c r="Q246" s="6"/>
    </row>
    <row r="247" spans="1:17" ht="27.75" customHeight="1" x14ac:dyDescent="0.25">
      <c r="A247" s="468"/>
      <c r="B247" s="40"/>
      <c r="C247" s="7"/>
      <c r="D247" s="7"/>
      <c r="E247" s="329"/>
      <c r="F247" s="52"/>
      <c r="G247" s="28"/>
      <c r="H247" s="47"/>
      <c r="I247" s="193"/>
      <c r="J247" s="44"/>
      <c r="K247" s="176"/>
      <c r="L247" s="184"/>
      <c r="M247" s="406"/>
      <c r="N247" s="7"/>
      <c r="O247" s="6"/>
      <c r="P247" s="6"/>
      <c r="Q247" s="6"/>
    </row>
    <row r="248" spans="1:17" ht="27.75" customHeight="1" x14ac:dyDescent="0.25">
      <c r="A248" s="468"/>
      <c r="B248" s="40"/>
      <c r="C248" s="7"/>
      <c r="D248" s="7"/>
      <c r="E248" s="329"/>
      <c r="F248" s="52"/>
      <c r="G248" s="28"/>
      <c r="H248" s="47"/>
      <c r="I248" s="193"/>
      <c r="J248" s="44"/>
      <c r="K248" s="176"/>
      <c r="L248" s="184"/>
      <c r="M248" s="406"/>
      <c r="N248" s="7"/>
      <c r="O248" s="6"/>
      <c r="P248" s="6"/>
      <c r="Q248" s="6"/>
    </row>
    <row r="249" spans="1:17" ht="27.75" customHeight="1" x14ac:dyDescent="0.25">
      <c r="A249" s="468"/>
      <c r="B249" s="40"/>
      <c r="C249" s="7"/>
      <c r="D249" s="7"/>
      <c r="E249" s="329"/>
      <c r="F249" s="52"/>
      <c r="G249" s="28"/>
      <c r="H249" s="47"/>
      <c r="I249" s="193"/>
      <c r="J249" s="44"/>
      <c r="K249" s="176"/>
      <c r="L249" s="184"/>
      <c r="M249" s="406"/>
      <c r="N249" s="7"/>
      <c r="O249" s="6"/>
      <c r="P249" s="6"/>
      <c r="Q249" s="6"/>
    </row>
    <row r="250" spans="1:17" ht="27.75" customHeight="1" x14ac:dyDescent="0.25">
      <c r="A250" s="468"/>
      <c r="B250" s="40"/>
      <c r="C250" s="7"/>
      <c r="D250" s="7"/>
      <c r="E250" s="329"/>
      <c r="F250" s="52"/>
      <c r="G250" s="28"/>
      <c r="H250" s="47"/>
      <c r="I250" s="193"/>
      <c r="J250" s="44"/>
      <c r="K250" s="176"/>
      <c r="L250" s="184"/>
      <c r="M250" s="406"/>
      <c r="N250" s="7"/>
      <c r="O250" s="6"/>
      <c r="P250" s="6"/>
      <c r="Q250" s="6"/>
    </row>
    <row r="251" spans="1:17" ht="27.75" customHeight="1" x14ac:dyDescent="0.25">
      <c r="A251" s="468"/>
      <c r="B251" s="40"/>
      <c r="C251" s="7"/>
      <c r="D251" s="7"/>
      <c r="E251" s="329"/>
      <c r="F251" s="52"/>
      <c r="G251" s="28"/>
      <c r="H251" s="47"/>
      <c r="I251" s="193"/>
      <c r="J251" s="44"/>
      <c r="K251" s="176"/>
      <c r="L251" s="184"/>
      <c r="M251" s="406"/>
      <c r="N251" s="7"/>
      <c r="O251" s="6"/>
      <c r="P251" s="6"/>
      <c r="Q251" s="6"/>
    </row>
    <row r="252" spans="1:17" ht="27.75" customHeight="1" x14ac:dyDescent="0.25">
      <c r="A252" s="468"/>
      <c r="B252" s="40"/>
      <c r="C252" s="7"/>
      <c r="D252" s="7"/>
      <c r="E252" s="329"/>
      <c r="F252" s="52"/>
      <c r="G252" s="28"/>
      <c r="H252" s="47"/>
      <c r="I252" s="193"/>
      <c r="J252" s="44"/>
      <c r="K252" s="176"/>
      <c r="L252" s="184"/>
      <c r="M252" s="406"/>
      <c r="N252" s="7"/>
      <c r="O252" s="6"/>
      <c r="P252" s="6"/>
      <c r="Q252" s="6"/>
    </row>
    <row r="253" spans="1:17" ht="27.75" customHeight="1" x14ac:dyDescent="0.25">
      <c r="A253" s="468"/>
      <c r="B253" s="40"/>
      <c r="C253" s="7"/>
      <c r="D253" s="7"/>
      <c r="E253" s="329"/>
      <c r="F253" s="52"/>
      <c r="G253" s="28"/>
      <c r="H253" s="47"/>
      <c r="I253" s="193"/>
      <c r="J253" s="44"/>
      <c r="K253" s="176"/>
      <c r="L253" s="184"/>
      <c r="M253" s="406"/>
      <c r="N253" s="7"/>
      <c r="O253" s="6"/>
      <c r="P253" s="6"/>
      <c r="Q253" s="6"/>
    </row>
    <row r="254" spans="1:17" ht="27.75" customHeight="1" x14ac:dyDescent="0.25">
      <c r="A254" s="468"/>
      <c r="B254" s="40"/>
      <c r="C254" s="7"/>
      <c r="D254" s="7"/>
      <c r="E254" s="329"/>
      <c r="F254" s="52"/>
      <c r="G254" s="28"/>
      <c r="H254" s="47"/>
      <c r="I254" s="193"/>
      <c r="J254" s="44"/>
      <c r="K254" s="176"/>
      <c r="L254" s="184"/>
      <c r="M254" s="406"/>
      <c r="N254" s="7"/>
      <c r="O254" s="6"/>
      <c r="P254" s="6"/>
      <c r="Q254" s="6"/>
    </row>
    <row r="255" spans="1:17" ht="27.75" customHeight="1" x14ac:dyDescent="0.25">
      <c r="A255" s="468"/>
      <c r="B255" s="40"/>
      <c r="C255" s="7"/>
      <c r="D255" s="7"/>
      <c r="E255" s="329"/>
      <c r="F255" s="52"/>
      <c r="G255" s="28"/>
      <c r="H255" s="47"/>
      <c r="I255" s="193"/>
      <c r="J255" s="44"/>
      <c r="K255" s="176"/>
      <c r="L255" s="184"/>
      <c r="M255" s="406"/>
      <c r="N255" s="7"/>
      <c r="O255" s="6"/>
      <c r="P255" s="6"/>
      <c r="Q255" s="6"/>
    </row>
    <row r="256" spans="1:17" ht="27.75" customHeight="1" x14ac:dyDescent="0.25">
      <c r="A256" s="468"/>
      <c r="B256" s="40"/>
      <c r="C256" s="7"/>
      <c r="D256" s="7"/>
      <c r="E256" s="329"/>
      <c r="F256" s="52"/>
      <c r="G256" s="28"/>
      <c r="H256" s="47"/>
      <c r="I256" s="193"/>
      <c r="J256" s="44"/>
      <c r="K256" s="176"/>
      <c r="L256" s="184"/>
      <c r="M256" s="406"/>
      <c r="N256" s="7"/>
      <c r="O256" s="6"/>
      <c r="P256" s="6"/>
      <c r="Q256" s="6"/>
    </row>
    <row r="257" spans="1:17" ht="27.75" customHeight="1" x14ac:dyDescent="0.25">
      <c r="A257" s="29"/>
      <c r="B257" s="40"/>
      <c r="C257" s="7"/>
      <c r="D257" s="7"/>
      <c r="E257" s="329"/>
      <c r="F257" s="52"/>
      <c r="G257" s="28"/>
      <c r="H257" s="47"/>
      <c r="I257" s="193"/>
      <c r="J257" s="44"/>
      <c r="K257" s="176"/>
      <c r="L257" s="184"/>
      <c r="M257" s="406"/>
      <c r="N257" s="7"/>
      <c r="O257" s="6"/>
      <c r="P257" s="6"/>
      <c r="Q257" s="6"/>
    </row>
    <row r="258" spans="1:17" ht="27.75" customHeight="1" x14ac:dyDescent="0.25">
      <c r="A258" s="29"/>
      <c r="B258" s="40"/>
      <c r="C258" s="7"/>
      <c r="D258" s="7"/>
      <c r="E258" s="329"/>
      <c r="F258" s="52"/>
      <c r="G258" s="28"/>
      <c r="H258" s="47"/>
      <c r="I258" s="193"/>
      <c r="J258" s="44"/>
      <c r="K258" s="176"/>
      <c r="L258" s="184"/>
      <c r="M258" s="406"/>
      <c r="N258" s="7"/>
      <c r="O258" s="6"/>
      <c r="P258" s="6"/>
      <c r="Q258" s="6"/>
    </row>
    <row r="259" spans="1:17" ht="27.75" customHeight="1" x14ac:dyDescent="0.25">
      <c r="A259" s="29"/>
      <c r="B259" s="40"/>
      <c r="C259" s="7"/>
      <c r="D259" s="7"/>
      <c r="E259" s="329"/>
      <c r="F259" s="52"/>
      <c r="G259" s="28"/>
      <c r="H259" s="47"/>
      <c r="I259" s="193"/>
      <c r="J259" s="44"/>
      <c r="K259" s="176"/>
      <c r="L259" s="184"/>
      <c r="M259" s="406"/>
      <c r="N259" s="7"/>
      <c r="O259" s="6"/>
      <c r="P259" s="6"/>
      <c r="Q259" s="6"/>
    </row>
    <row r="260" spans="1:17" ht="27.75" customHeight="1" x14ac:dyDescent="0.25">
      <c r="A260" s="29"/>
      <c r="B260" s="40"/>
      <c r="C260" s="7"/>
      <c r="D260" s="7"/>
      <c r="E260" s="329"/>
      <c r="F260" s="52"/>
      <c r="G260" s="28"/>
      <c r="H260" s="47"/>
      <c r="I260" s="193"/>
      <c r="J260" s="44"/>
      <c r="K260" s="176"/>
      <c r="L260" s="184"/>
      <c r="M260" s="406"/>
      <c r="N260" s="7"/>
      <c r="O260" s="6"/>
      <c r="P260" s="6"/>
      <c r="Q260" s="6"/>
    </row>
    <row r="261" spans="1:17" ht="27.75" customHeight="1" x14ac:dyDescent="0.25">
      <c r="A261" s="29"/>
      <c r="B261" s="40"/>
      <c r="C261" s="7"/>
      <c r="D261" s="7"/>
      <c r="E261" s="329"/>
      <c r="F261" s="52"/>
      <c r="G261" s="28"/>
      <c r="H261" s="47"/>
      <c r="I261" s="193"/>
      <c r="J261" s="44"/>
      <c r="K261" s="176"/>
      <c r="L261" s="184"/>
      <c r="M261" s="406"/>
      <c r="N261" s="7"/>
      <c r="O261" s="6"/>
      <c r="P261" s="6"/>
      <c r="Q261" s="6"/>
    </row>
    <row r="262" spans="1:17" ht="23.25" customHeight="1" x14ac:dyDescent="0.25">
      <c r="A262" s="29"/>
      <c r="B262" s="40"/>
      <c r="C262" s="7"/>
      <c r="D262" s="7"/>
      <c r="E262" s="329"/>
      <c r="F262" s="52"/>
      <c r="G262" s="28"/>
      <c r="H262" s="47"/>
      <c r="I262" s="193"/>
      <c r="J262" s="44"/>
      <c r="K262" s="176"/>
      <c r="L262" s="184"/>
      <c r="M262" s="406"/>
      <c r="N262" s="7"/>
      <c r="O262" s="6"/>
      <c r="P262" s="6"/>
      <c r="Q262" s="6"/>
    </row>
    <row r="263" spans="1:17" ht="23.25" customHeight="1" x14ac:dyDescent="0.25">
      <c r="A263" s="29"/>
      <c r="B263" s="40"/>
      <c r="C263" s="7"/>
      <c r="D263" s="7"/>
      <c r="E263" s="329"/>
      <c r="F263" s="52"/>
      <c r="G263" s="28"/>
      <c r="H263" s="47"/>
      <c r="I263" s="193"/>
      <c r="J263" s="44"/>
      <c r="K263" s="176"/>
      <c r="L263" s="184"/>
      <c r="M263" s="406"/>
      <c r="N263" s="7"/>
      <c r="O263" s="6"/>
      <c r="P263" s="6"/>
      <c r="Q263" s="6"/>
    </row>
    <row r="264" spans="1:17" ht="23.25" customHeight="1" x14ac:dyDescent="0.25">
      <c r="A264" s="29"/>
      <c r="B264" s="40"/>
      <c r="C264" s="7"/>
      <c r="D264" s="7"/>
      <c r="E264" s="329"/>
      <c r="F264" s="52"/>
      <c r="G264" s="28"/>
      <c r="H264" s="47"/>
      <c r="I264" s="193"/>
      <c r="J264" s="44"/>
      <c r="K264" s="176"/>
      <c r="L264" s="184"/>
      <c r="M264" s="406"/>
      <c r="N264" s="7"/>
      <c r="O264" s="6"/>
      <c r="P264" s="6"/>
      <c r="Q264" s="6"/>
    </row>
    <row r="265" spans="1:17" ht="23.25" customHeight="1" x14ac:dyDescent="0.25">
      <c r="A265" s="29"/>
      <c r="B265" s="40"/>
      <c r="C265" s="7"/>
      <c r="D265" s="7"/>
      <c r="E265" s="329"/>
      <c r="F265" s="52"/>
      <c r="G265" s="28"/>
      <c r="H265" s="47"/>
      <c r="I265" s="193"/>
      <c r="J265" s="44"/>
      <c r="K265" s="176"/>
      <c r="L265" s="184"/>
      <c r="M265" s="406"/>
      <c r="N265" s="7"/>
      <c r="O265" s="6"/>
      <c r="P265" s="6"/>
      <c r="Q265" s="6"/>
    </row>
    <row r="266" spans="1:17" ht="23.25" customHeight="1" x14ac:dyDescent="0.25">
      <c r="A266" s="29"/>
      <c r="B266" s="40"/>
      <c r="C266" s="7"/>
      <c r="D266" s="7"/>
      <c r="E266" s="329"/>
      <c r="F266" s="52"/>
      <c r="G266" s="28"/>
      <c r="H266" s="47"/>
      <c r="I266" s="193"/>
      <c r="J266" s="44"/>
      <c r="K266" s="176"/>
      <c r="L266" s="184"/>
      <c r="M266" s="406"/>
      <c r="N266" s="7"/>
      <c r="O266" s="6"/>
      <c r="P266" s="6"/>
      <c r="Q266" s="6"/>
    </row>
    <row r="267" spans="1:17" ht="23.25" customHeight="1" x14ac:dyDescent="0.25">
      <c r="A267" s="29"/>
      <c r="B267" s="40"/>
      <c r="C267" s="7"/>
      <c r="D267" s="7"/>
      <c r="E267" s="329"/>
      <c r="F267" s="52"/>
      <c r="G267" s="28"/>
      <c r="H267" s="47"/>
      <c r="I267" s="193"/>
      <c r="J267" s="44"/>
      <c r="K267" s="176"/>
      <c r="L267" s="184"/>
      <c r="M267" s="406"/>
      <c r="N267" s="7"/>
      <c r="O267" s="6"/>
      <c r="P267" s="6"/>
      <c r="Q267" s="6"/>
    </row>
    <row r="268" spans="1:17" ht="23.25" customHeight="1" x14ac:dyDescent="0.25">
      <c r="A268" s="29"/>
      <c r="B268" s="40"/>
      <c r="C268" s="7"/>
      <c r="D268" s="7"/>
      <c r="E268" s="329"/>
      <c r="F268" s="52"/>
      <c r="G268" s="28"/>
      <c r="H268" s="47"/>
      <c r="I268" s="193"/>
      <c r="J268" s="44"/>
      <c r="K268" s="176"/>
      <c r="L268" s="184"/>
      <c r="M268" s="406"/>
      <c r="N268" s="7"/>
      <c r="O268" s="6"/>
      <c r="P268" s="6"/>
      <c r="Q268" s="6"/>
    </row>
    <row r="269" spans="1:17" ht="23.25" customHeight="1" x14ac:dyDescent="0.25">
      <c r="A269" s="29"/>
      <c r="B269" s="40"/>
      <c r="C269" s="7"/>
      <c r="D269" s="7"/>
      <c r="E269" s="329"/>
      <c r="F269" s="52"/>
      <c r="G269" s="28"/>
      <c r="H269" s="47"/>
      <c r="I269" s="193"/>
      <c r="J269" s="44"/>
      <c r="K269" s="176"/>
      <c r="L269" s="184"/>
      <c r="M269" s="406"/>
      <c r="N269" s="7"/>
      <c r="O269" s="6"/>
      <c r="P269" s="6"/>
      <c r="Q269" s="6"/>
    </row>
    <row r="270" spans="1:17" ht="23.25" customHeight="1" x14ac:dyDescent="0.25">
      <c r="A270" s="29"/>
      <c r="B270" s="40"/>
      <c r="C270" s="7"/>
      <c r="D270" s="7"/>
      <c r="E270" s="329"/>
      <c r="F270" s="52"/>
      <c r="G270" s="28"/>
      <c r="H270" s="47"/>
      <c r="I270" s="193"/>
      <c r="J270" s="44"/>
      <c r="K270" s="176"/>
      <c r="L270" s="184"/>
      <c r="M270" s="406"/>
      <c r="N270" s="7"/>
      <c r="O270" s="6"/>
      <c r="P270" s="6"/>
      <c r="Q270" s="6"/>
    </row>
    <row r="271" spans="1:17" ht="23.25" customHeight="1" x14ac:dyDescent="0.25">
      <c r="A271" s="29"/>
      <c r="B271" s="40"/>
      <c r="C271" s="7"/>
      <c r="D271" s="7"/>
      <c r="E271" s="329"/>
      <c r="F271" s="52"/>
      <c r="G271" s="28"/>
      <c r="H271" s="47"/>
      <c r="I271" s="193"/>
      <c r="J271" s="44"/>
      <c r="K271" s="176"/>
      <c r="L271" s="184"/>
      <c r="M271" s="406"/>
      <c r="N271" s="7"/>
      <c r="O271" s="6"/>
      <c r="P271" s="6"/>
      <c r="Q271" s="6"/>
    </row>
    <row r="272" spans="1:17" ht="23.25" customHeight="1" x14ac:dyDescent="0.25">
      <c r="A272" s="29"/>
      <c r="B272" s="40"/>
      <c r="C272" s="7"/>
      <c r="D272" s="7"/>
      <c r="E272" s="329"/>
      <c r="F272" s="52"/>
      <c r="G272" s="28"/>
      <c r="H272" s="47"/>
      <c r="I272" s="193"/>
      <c r="J272" s="44"/>
      <c r="K272" s="176"/>
      <c r="L272" s="184"/>
      <c r="M272" s="406"/>
      <c r="N272" s="7"/>
      <c r="O272" s="6"/>
      <c r="P272" s="6"/>
      <c r="Q272" s="6"/>
    </row>
    <row r="273" spans="1:17" ht="23.25" customHeight="1" x14ac:dyDescent="0.25">
      <c r="A273" s="29"/>
      <c r="B273" s="40"/>
      <c r="C273" s="7"/>
      <c r="D273" s="7"/>
      <c r="E273" s="329"/>
      <c r="F273" s="52"/>
      <c r="G273" s="28"/>
      <c r="H273" s="47"/>
      <c r="I273" s="193"/>
      <c r="J273" s="44"/>
      <c r="K273" s="176"/>
      <c r="L273" s="184"/>
      <c r="M273" s="406"/>
      <c r="N273" s="7"/>
      <c r="O273" s="6"/>
      <c r="P273" s="6"/>
      <c r="Q273" s="6"/>
    </row>
    <row r="274" spans="1:17" ht="23.25" customHeight="1" x14ac:dyDescent="0.25">
      <c r="A274" s="29"/>
      <c r="B274" s="40"/>
      <c r="C274" s="7"/>
      <c r="D274" s="7"/>
      <c r="E274" s="329"/>
      <c r="F274" s="52"/>
      <c r="G274" s="28"/>
      <c r="H274" s="47"/>
      <c r="I274" s="193"/>
      <c r="J274" s="44"/>
      <c r="K274" s="176"/>
      <c r="L274" s="184"/>
      <c r="M274" s="406"/>
      <c r="N274" s="7"/>
      <c r="O274" s="6"/>
      <c r="P274" s="6"/>
      <c r="Q274" s="6"/>
    </row>
    <row r="275" spans="1:17" ht="23.25" customHeight="1" x14ac:dyDescent="0.25">
      <c r="A275" s="29"/>
      <c r="B275" s="40"/>
      <c r="C275" s="7"/>
      <c r="D275" s="7"/>
      <c r="E275" s="329"/>
      <c r="F275" s="52"/>
      <c r="G275" s="28"/>
      <c r="H275" s="47"/>
      <c r="I275" s="193"/>
      <c r="J275" s="44"/>
      <c r="K275" s="176"/>
      <c r="L275" s="184"/>
      <c r="M275" s="406"/>
      <c r="N275" s="7"/>
      <c r="O275" s="6"/>
      <c r="P275" s="6"/>
      <c r="Q275" s="6"/>
    </row>
    <row r="276" spans="1:17" ht="23.25" customHeight="1" x14ac:dyDescent="0.25">
      <c r="A276" s="29"/>
      <c r="B276" s="40"/>
      <c r="C276" s="7"/>
      <c r="D276" s="7"/>
      <c r="E276" s="329"/>
      <c r="F276" s="52"/>
      <c r="G276" s="28"/>
      <c r="H276" s="47"/>
      <c r="I276" s="193"/>
      <c r="J276" s="44"/>
      <c r="K276" s="176"/>
      <c r="L276" s="184"/>
      <c r="M276" s="406"/>
      <c r="N276" s="7"/>
      <c r="O276" s="6"/>
      <c r="P276" s="6"/>
      <c r="Q276" s="6"/>
    </row>
    <row r="277" spans="1:17" ht="23.25" customHeight="1" x14ac:dyDescent="0.25">
      <c r="A277" s="29"/>
      <c r="B277" s="40"/>
      <c r="C277" s="7"/>
      <c r="D277" s="7"/>
      <c r="E277" s="329"/>
      <c r="F277" s="52"/>
      <c r="G277" s="28"/>
      <c r="H277" s="47"/>
      <c r="I277" s="193"/>
      <c r="J277" s="44"/>
      <c r="K277" s="176"/>
      <c r="L277" s="184"/>
      <c r="M277" s="406"/>
      <c r="N277" s="7"/>
      <c r="O277" s="6"/>
      <c r="P277" s="6"/>
      <c r="Q277" s="6"/>
    </row>
    <row r="278" spans="1:17" ht="23.25" customHeight="1" x14ac:dyDescent="0.25">
      <c r="A278" s="29"/>
      <c r="B278" s="40"/>
      <c r="C278" s="7"/>
      <c r="D278" s="7"/>
      <c r="E278" s="329"/>
      <c r="F278" s="52"/>
      <c r="G278" s="28"/>
      <c r="H278" s="47"/>
      <c r="I278" s="193"/>
      <c r="J278" s="44"/>
      <c r="K278" s="176"/>
      <c r="L278" s="184"/>
      <c r="M278" s="406"/>
      <c r="N278" s="7"/>
      <c r="O278" s="6"/>
      <c r="P278" s="6"/>
      <c r="Q278" s="6"/>
    </row>
    <row r="279" spans="1:17" ht="23.25" customHeight="1" x14ac:dyDescent="0.25">
      <c r="A279" s="29"/>
      <c r="B279" s="40"/>
      <c r="C279" s="7"/>
      <c r="D279" s="7"/>
      <c r="E279" s="329"/>
      <c r="F279" s="52"/>
      <c r="G279" s="28"/>
      <c r="H279" s="47"/>
      <c r="I279" s="193"/>
      <c r="J279" s="44"/>
      <c r="K279" s="176"/>
      <c r="L279" s="184"/>
      <c r="M279" s="406"/>
      <c r="N279" s="7"/>
      <c r="O279" s="6"/>
      <c r="P279" s="6"/>
      <c r="Q279" s="6"/>
    </row>
    <row r="280" spans="1:17" ht="23.25" customHeight="1" x14ac:dyDescent="0.25">
      <c r="A280" s="29"/>
      <c r="B280" s="40"/>
      <c r="C280" s="7"/>
      <c r="D280" s="7"/>
      <c r="E280" s="329"/>
      <c r="F280" s="52"/>
      <c r="G280" s="28"/>
      <c r="H280" s="47"/>
      <c r="I280" s="193"/>
      <c r="J280" s="44"/>
      <c r="K280" s="176"/>
      <c r="L280" s="184"/>
      <c r="M280" s="406"/>
      <c r="N280" s="7"/>
      <c r="O280" s="6"/>
      <c r="P280" s="6"/>
      <c r="Q280" s="6"/>
    </row>
    <row r="281" spans="1:17" ht="23.25" customHeight="1" x14ac:dyDescent="0.25">
      <c r="A281" s="29"/>
      <c r="B281" s="40"/>
      <c r="C281" s="7"/>
      <c r="D281" s="7"/>
      <c r="E281" s="329"/>
      <c r="F281" s="52"/>
      <c r="G281" s="28"/>
      <c r="H281" s="47"/>
      <c r="I281" s="193"/>
      <c r="J281" s="44"/>
      <c r="K281" s="176"/>
      <c r="L281" s="184"/>
      <c r="M281" s="406"/>
      <c r="N281" s="7"/>
      <c r="O281" s="6"/>
      <c r="P281" s="6"/>
      <c r="Q281" s="6"/>
    </row>
    <row r="282" spans="1:17" ht="23.25" customHeight="1" x14ac:dyDescent="0.25">
      <c r="A282" s="29"/>
      <c r="B282" s="40"/>
      <c r="C282" s="7"/>
      <c r="D282" s="7"/>
      <c r="E282" s="329"/>
      <c r="F282" s="52"/>
      <c r="G282" s="28"/>
      <c r="H282" s="47"/>
      <c r="I282" s="193"/>
      <c r="J282" s="44"/>
      <c r="K282" s="176"/>
      <c r="L282" s="184"/>
      <c r="M282" s="406"/>
      <c r="N282" s="7"/>
      <c r="O282" s="6"/>
      <c r="P282" s="6"/>
      <c r="Q282" s="6"/>
    </row>
    <row r="283" spans="1:17" ht="23.25" customHeight="1" x14ac:dyDescent="0.25">
      <c r="A283" s="29"/>
      <c r="B283" s="40"/>
      <c r="C283" s="7"/>
      <c r="D283" s="7"/>
      <c r="E283" s="329"/>
      <c r="F283" s="52"/>
      <c r="G283" s="28"/>
      <c r="H283" s="47"/>
      <c r="I283" s="193"/>
      <c r="J283" s="44"/>
      <c r="K283" s="176"/>
      <c r="L283" s="184"/>
      <c r="M283" s="406"/>
      <c r="N283" s="7"/>
      <c r="O283" s="6"/>
      <c r="P283" s="6"/>
      <c r="Q283" s="6"/>
    </row>
    <row r="284" spans="1:17" ht="23.25" customHeight="1" x14ac:dyDescent="0.25">
      <c r="A284" s="29"/>
      <c r="B284" s="40"/>
      <c r="C284" s="7"/>
      <c r="D284" s="7"/>
      <c r="E284" s="329"/>
      <c r="F284" s="52"/>
      <c r="G284" s="28"/>
      <c r="H284" s="47"/>
      <c r="I284" s="193"/>
      <c r="J284" s="44"/>
      <c r="K284" s="176"/>
      <c r="L284" s="184"/>
      <c r="M284" s="406"/>
      <c r="N284" s="7"/>
      <c r="O284" s="6"/>
      <c r="P284" s="6"/>
      <c r="Q284" s="6"/>
    </row>
    <row r="285" spans="1:17" ht="23.25" customHeight="1" x14ac:dyDescent="0.25">
      <c r="A285" s="29"/>
      <c r="B285" s="40"/>
      <c r="C285" s="7"/>
      <c r="D285" s="7"/>
      <c r="E285" s="329"/>
      <c r="F285" s="52"/>
      <c r="G285" s="28"/>
      <c r="H285" s="47"/>
      <c r="I285" s="193"/>
      <c r="J285" s="44"/>
      <c r="K285" s="176"/>
      <c r="L285" s="184"/>
      <c r="M285" s="406"/>
      <c r="N285" s="7"/>
      <c r="O285" s="6"/>
      <c r="P285" s="6"/>
      <c r="Q285" s="6"/>
    </row>
    <row r="286" spans="1:17" ht="23.25" customHeight="1" x14ac:dyDescent="0.25">
      <c r="A286" s="29"/>
      <c r="B286" s="40"/>
      <c r="C286" s="7"/>
      <c r="D286" s="7"/>
      <c r="E286" s="329"/>
      <c r="F286" s="52"/>
      <c r="G286" s="28"/>
      <c r="H286" s="47"/>
      <c r="I286" s="193"/>
      <c r="J286" s="44"/>
      <c r="K286" s="176"/>
      <c r="L286" s="184"/>
      <c r="M286" s="406"/>
      <c r="N286" s="7"/>
      <c r="O286" s="6"/>
      <c r="P286" s="6"/>
      <c r="Q286" s="6"/>
    </row>
    <row r="287" spans="1:17" ht="23.25" customHeight="1" x14ac:dyDescent="0.25">
      <c r="A287" s="29"/>
      <c r="B287" s="40"/>
      <c r="C287" s="7"/>
      <c r="D287" s="7"/>
      <c r="E287" s="329"/>
      <c r="F287" s="30"/>
      <c r="H287" s="48"/>
      <c r="I287" s="194"/>
      <c r="J287" s="45"/>
      <c r="K287" s="177"/>
      <c r="L287" s="185"/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E2:G2"/>
    <mergeCell ref="C2:D2"/>
    <mergeCell ref="H2:J2"/>
  </mergeCells>
  <conditionalFormatting sqref="L70:L72 B71:B148 E70:H70 J66 E66:H66 K66:L69 M45:M47 A45:B47 B152:B179 L74:L179 M66:M179 M11:M37 L38:L65 A11:B37 J70:K70 L4:L36">
    <cfRule type="timePeriod" dxfId="647" priority="1121" timePeriod="tomorrow">
      <formula>FLOOR(A4,1)=TODAY()+1</formula>
    </cfRule>
  </conditionalFormatting>
  <conditionalFormatting sqref="A93:B148 A152:B1048576">
    <cfRule type="cellIs" dxfId="646" priority="1118" operator="equal">
      <formula>"Expirado"</formula>
    </cfRule>
  </conditionalFormatting>
  <conditionalFormatting sqref="A70:B70">
    <cfRule type="timePeriod" dxfId="645" priority="1117" timePeriod="tomorrow">
      <formula>FLOOR(A70,1)=TODAY()+1</formula>
    </cfRule>
  </conditionalFormatting>
  <conditionalFormatting sqref="D70">
    <cfRule type="timePeriod" dxfId="644" priority="1115" timePeriod="tomorrow">
      <formula>FLOOR(D70,1)=TODAY()+1</formula>
    </cfRule>
  </conditionalFormatting>
  <conditionalFormatting sqref="B70:B148 B45:B47 B152:B179 B11:B37">
    <cfRule type="cellIs" dxfId="643" priority="1112" operator="equal">
      <formula>"Ativado"</formula>
    </cfRule>
  </conditionalFormatting>
  <conditionalFormatting sqref="B70:B148 B45:B47 B152:B936 B11:B37">
    <cfRule type="cellIs" dxfId="642" priority="1110" operator="equal">
      <formula>"Pausado"</formula>
    </cfRule>
  </conditionalFormatting>
  <conditionalFormatting sqref="B71:B74">
    <cfRule type="timePeriod" dxfId="641" priority="1109" timePeriod="tomorrow">
      <formula>FLOOR(B71,1)=TODAY()+1</formula>
    </cfRule>
  </conditionalFormatting>
  <conditionalFormatting sqref="B87">
    <cfRule type="timePeriod" dxfId="640" priority="1108" timePeriod="tomorrow">
      <formula>FLOOR(B87,1)=TODAY()+1</formula>
    </cfRule>
  </conditionalFormatting>
  <conditionalFormatting sqref="B95">
    <cfRule type="timePeriod" dxfId="639" priority="1107" timePeriod="tomorrow">
      <formula>FLOOR(B95,1)=TODAY()+1</formula>
    </cfRule>
  </conditionalFormatting>
  <conditionalFormatting sqref="B110:B114">
    <cfRule type="timePeriod" dxfId="638" priority="1106" timePeriod="tomorrow">
      <formula>FLOOR(B110,1)=TODAY()+1</formula>
    </cfRule>
  </conditionalFormatting>
  <conditionalFormatting sqref="A113:A114">
    <cfRule type="cellIs" dxfId="637" priority="1105" operator="equal">
      <formula>"Ativado"</formula>
    </cfRule>
  </conditionalFormatting>
  <conditionalFormatting sqref="A113:A114">
    <cfRule type="timePeriod" dxfId="636" priority="1104" timePeriod="tomorrow">
      <formula>FLOOR(A113,1)=TODAY()+1</formula>
    </cfRule>
  </conditionalFormatting>
  <conditionalFormatting sqref="A113:A114">
    <cfRule type="cellIs" dxfId="635" priority="1103" operator="equal">
      <formula>"Pausado"</formula>
    </cfRule>
  </conditionalFormatting>
  <conditionalFormatting sqref="A113:A114">
    <cfRule type="timePeriod" dxfId="634" priority="1102" timePeriod="tomorrow">
      <formula>FLOOR(A113,1)=TODAY()+1</formula>
    </cfRule>
  </conditionalFormatting>
  <conditionalFormatting sqref="A110:A112">
    <cfRule type="cellIs" dxfId="633" priority="1101" operator="equal">
      <formula>"Ativado"</formula>
    </cfRule>
  </conditionalFormatting>
  <conditionalFormatting sqref="A110:A112">
    <cfRule type="timePeriod" dxfId="632" priority="1100" timePeriod="tomorrow">
      <formula>FLOOR(A110,1)=TODAY()+1</formula>
    </cfRule>
  </conditionalFormatting>
  <conditionalFormatting sqref="A110:A112">
    <cfRule type="cellIs" dxfId="631" priority="1099" operator="equal">
      <formula>"Pausado"</formula>
    </cfRule>
  </conditionalFormatting>
  <conditionalFormatting sqref="A110:A112">
    <cfRule type="timePeriod" dxfId="630" priority="1098" timePeriod="tomorrow">
      <formula>FLOOR(A110,1)=TODAY()+1</formula>
    </cfRule>
  </conditionalFormatting>
  <conditionalFormatting sqref="H184">
    <cfRule type="containsText" dxfId="629" priority="1092" operator="containsText" text="12%">
      <formula>NOT(ISERROR(SEARCH("12%",H184)))</formula>
    </cfRule>
  </conditionalFormatting>
  <conditionalFormatting sqref="H148 H70:H145 H66 H45:H47 H152:H1048576 H12:H36">
    <cfRule type="containsText" dxfId="628" priority="1090" operator="containsText" text="17">
      <formula>NOT(ISERROR(SEARCH("17",H12)))</formula>
    </cfRule>
    <cfRule type="containsText" dxfId="627" priority="1091" operator="containsText" text="12">
      <formula>NOT(ISERROR(SEARCH("12",H12)))</formula>
    </cfRule>
  </conditionalFormatting>
  <conditionalFormatting sqref="D39:D335">
    <cfRule type="duplicateValues" dxfId="626" priority="1068"/>
  </conditionalFormatting>
  <conditionalFormatting sqref="D143">
    <cfRule type="duplicateValues" dxfId="625" priority="1067"/>
  </conditionalFormatting>
  <conditionalFormatting sqref="D144">
    <cfRule type="duplicateValues" dxfId="624" priority="1065"/>
  </conditionalFormatting>
  <conditionalFormatting sqref="D145">
    <cfRule type="duplicateValues" dxfId="623" priority="1064"/>
  </conditionalFormatting>
  <conditionalFormatting sqref="H146">
    <cfRule type="containsText" dxfId="622" priority="1060" operator="containsText" text="17">
      <formula>NOT(ISERROR(SEARCH("17",H146)))</formula>
    </cfRule>
    <cfRule type="containsText" dxfId="621" priority="1061" operator="containsText" text="12">
      <formula>NOT(ISERROR(SEARCH("12",H146)))</formula>
    </cfRule>
  </conditionalFormatting>
  <conditionalFormatting sqref="D146">
    <cfRule type="duplicateValues" dxfId="620" priority="1058"/>
  </conditionalFormatting>
  <conditionalFormatting sqref="H147">
    <cfRule type="containsText" dxfId="619" priority="1053" operator="containsText" text="17">
      <formula>NOT(ISERROR(SEARCH("17",H147)))</formula>
    </cfRule>
    <cfRule type="containsText" dxfId="618" priority="1054" operator="containsText" text="12">
      <formula>NOT(ISERROR(SEARCH("12",H147)))</formula>
    </cfRule>
  </conditionalFormatting>
  <conditionalFormatting sqref="D147">
    <cfRule type="duplicateValues" dxfId="617" priority="1052"/>
  </conditionalFormatting>
  <conditionalFormatting sqref="L73">
    <cfRule type="timePeriod" dxfId="616" priority="1051" timePeriod="tomorrow">
      <formula>FLOOR(L73,1)=TODAY()+1</formula>
    </cfRule>
  </conditionalFormatting>
  <conditionalFormatting sqref="A149:B151">
    <cfRule type="cellIs" dxfId="615" priority="1029" operator="equal">
      <formula>"Expirado"</formula>
    </cfRule>
  </conditionalFormatting>
  <conditionalFormatting sqref="B149:B151">
    <cfRule type="cellIs" dxfId="614" priority="1028" operator="equal">
      <formula>"Ativado"</formula>
    </cfRule>
  </conditionalFormatting>
  <conditionalFormatting sqref="B149:B151">
    <cfRule type="timePeriod" dxfId="613" priority="1027" timePeriod="tomorrow">
      <formula>FLOOR(B149,1)=TODAY()+1</formula>
    </cfRule>
  </conditionalFormatting>
  <conditionalFormatting sqref="B149:B151">
    <cfRule type="cellIs" dxfId="612" priority="1026" operator="equal">
      <formula>"Pausado"</formula>
    </cfRule>
  </conditionalFormatting>
  <conditionalFormatting sqref="H149:H151">
    <cfRule type="containsText" dxfId="611" priority="1024" operator="containsText" text="17">
      <formula>NOT(ISERROR(SEARCH("17",H149)))</formula>
    </cfRule>
    <cfRule type="containsText" dxfId="610" priority="1025" operator="containsText" text="12">
      <formula>NOT(ISERROR(SEARCH("12",H149)))</formula>
    </cfRule>
  </conditionalFormatting>
  <conditionalFormatting sqref="D149:D151">
    <cfRule type="duplicateValues" dxfId="609" priority="1023"/>
  </conditionalFormatting>
  <conditionalFormatting sqref="J69 E69:H69">
    <cfRule type="timePeriod" dxfId="608" priority="993" timePeriod="tomorrow">
      <formula>FLOOR(E69,1)=TODAY()+1</formula>
    </cfRule>
  </conditionalFormatting>
  <conditionalFormatting sqref="A69:B69">
    <cfRule type="timePeriod" dxfId="607" priority="992" timePeriod="tomorrow">
      <formula>FLOOR(A69,1)=TODAY()+1</formula>
    </cfRule>
  </conditionalFormatting>
  <conditionalFormatting sqref="D69">
    <cfRule type="timePeriod" dxfId="606" priority="991" timePeriod="tomorrow">
      <formula>FLOOR(D69,1)=TODAY()+1</formula>
    </cfRule>
  </conditionalFormatting>
  <conditionalFormatting sqref="B69">
    <cfRule type="cellIs" dxfId="605" priority="990" operator="equal">
      <formula>"Ativado"</formula>
    </cfRule>
  </conditionalFormatting>
  <conditionalFormatting sqref="B69">
    <cfRule type="cellIs" dxfId="604" priority="989" operator="equal">
      <formula>"Pausado"</formula>
    </cfRule>
  </conditionalFormatting>
  <conditionalFormatting sqref="H69">
    <cfRule type="containsText" dxfId="603" priority="987" operator="containsText" text="17">
      <formula>NOT(ISERROR(SEARCH("17",H69)))</formula>
    </cfRule>
    <cfRule type="containsText" dxfId="602" priority="988" operator="containsText" text="12">
      <formula>NOT(ISERROR(SEARCH("12",H69)))</formula>
    </cfRule>
  </conditionalFormatting>
  <conditionalFormatting sqref="D69">
    <cfRule type="duplicateValues" dxfId="601" priority="986"/>
  </conditionalFormatting>
  <conditionalFormatting sqref="J68 E68:H68">
    <cfRule type="timePeriod" dxfId="600" priority="932" timePeriod="tomorrow">
      <formula>FLOOR(E68,1)=TODAY()+1</formula>
    </cfRule>
  </conditionalFormatting>
  <conditionalFormatting sqref="A68:B68">
    <cfRule type="timePeriod" dxfId="599" priority="931" timePeriod="tomorrow">
      <formula>FLOOR(A68,1)=TODAY()+1</formula>
    </cfRule>
  </conditionalFormatting>
  <conditionalFormatting sqref="D68">
    <cfRule type="timePeriod" dxfId="598" priority="930" timePeriod="tomorrow">
      <formula>FLOOR(D68,1)=TODAY()+1</formula>
    </cfRule>
  </conditionalFormatting>
  <conditionalFormatting sqref="B68">
    <cfRule type="cellIs" dxfId="597" priority="929" operator="equal">
      <formula>"Ativado"</formula>
    </cfRule>
  </conditionalFormatting>
  <conditionalFormatting sqref="B68">
    <cfRule type="cellIs" dxfId="596" priority="928" operator="equal">
      <formula>"Pausado"</formula>
    </cfRule>
  </conditionalFormatting>
  <conditionalFormatting sqref="H68">
    <cfRule type="containsText" dxfId="595" priority="926" operator="containsText" text="17">
      <formula>NOT(ISERROR(SEARCH("17",H68)))</formula>
    </cfRule>
    <cfRule type="containsText" dxfId="594" priority="927" operator="containsText" text="12">
      <formula>NOT(ISERROR(SEARCH("12",H68)))</formula>
    </cfRule>
  </conditionalFormatting>
  <conditionalFormatting sqref="D68">
    <cfRule type="duplicateValues" dxfId="593" priority="925"/>
  </conditionalFormatting>
  <conditionalFormatting sqref="J67 E67:H67">
    <cfRule type="timePeriod" dxfId="592" priority="902" timePeriod="tomorrow">
      <formula>FLOOR(E67,1)=TODAY()+1</formula>
    </cfRule>
  </conditionalFormatting>
  <conditionalFormatting sqref="A67:B67">
    <cfRule type="timePeriod" dxfId="591" priority="901" timePeriod="tomorrow">
      <formula>FLOOR(A67,1)=TODAY()+1</formula>
    </cfRule>
  </conditionalFormatting>
  <conditionalFormatting sqref="D67">
    <cfRule type="timePeriod" dxfId="590" priority="900" timePeriod="tomorrow">
      <formula>FLOOR(D67,1)=TODAY()+1</formula>
    </cfRule>
  </conditionalFormatting>
  <conditionalFormatting sqref="B67">
    <cfRule type="cellIs" dxfId="589" priority="899" operator="equal">
      <formula>"Ativado"</formula>
    </cfRule>
  </conditionalFormatting>
  <conditionalFormatting sqref="B67">
    <cfRule type="cellIs" dxfId="588" priority="898" operator="equal">
      <formula>"Pausado"</formula>
    </cfRule>
  </conditionalFormatting>
  <conditionalFormatting sqref="H67">
    <cfRule type="containsText" dxfId="587" priority="896" operator="containsText" text="17">
      <formula>NOT(ISERROR(SEARCH("17",H67)))</formula>
    </cfRule>
    <cfRule type="containsText" dxfId="586" priority="897" operator="containsText" text="12">
      <formula>NOT(ISERROR(SEARCH("12",H67)))</formula>
    </cfRule>
  </conditionalFormatting>
  <conditionalFormatting sqref="D67">
    <cfRule type="duplicateValues" dxfId="585" priority="895"/>
  </conditionalFormatting>
  <conditionalFormatting sqref="A66:B66">
    <cfRule type="timePeriod" dxfId="584" priority="821" timePeriod="tomorrow">
      <formula>FLOOR(A66,1)=TODAY()+1</formula>
    </cfRule>
  </conditionalFormatting>
  <conditionalFormatting sqref="D66">
    <cfRule type="timePeriod" dxfId="583" priority="820" timePeriod="tomorrow">
      <formula>FLOOR(D66,1)=TODAY()+1</formula>
    </cfRule>
  </conditionalFormatting>
  <conditionalFormatting sqref="B66">
    <cfRule type="cellIs" dxfId="582" priority="819" operator="equal">
      <formula>"Ativado"</formula>
    </cfRule>
  </conditionalFormatting>
  <conditionalFormatting sqref="B66">
    <cfRule type="cellIs" dxfId="581" priority="818" operator="equal">
      <formula>"Pausado"</formula>
    </cfRule>
  </conditionalFormatting>
  <conditionalFormatting sqref="D66">
    <cfRule type="duplicateValues" dxfId="580" priority="815"/>
  </conditionalFormatting>
  <conditionalFormatting sqref="M45:M47 M66:M1048576 M1:M3 M11:M37">
    <cfRule type="cellIs" dxfId="579" priority="733" operator="equal">
      <formula>"0 unidade(s) vendida(s)"</formula>
    </cfRule>
  </conditionalFormatting>
  <conditionalFormatting sqref="H45:H47 C45:E47 C66:H179 F12:H36 C11:E37">
    <cfRule type="expression" dxfId="578" priority="662">
      <formula>$B11="Pausado"</formula>
    </cfRule>
  </conditionalFormatting>
  <conditionalFormatting sqref="A65:B65">
    <cfRule type="timePeriod" dxfId="577" priority="607" timePeriod="tomorrow">
      <formula>FLOOR(A65,1)=TODAY()+1</formula>
    </cfRule>
  </conditionalFormatting>
  <conditionalFormatting sqref="B65">
    <cfRule type="cellIs" dxfId="576" priority="605" operator="equal">
      <formula>"Ativado"</formula>
    </cfRule>
  </conditionalFormatting>
  <conditionalFormatting sqref="B65">
    <cfRule type="cellIs" dxfId="575" priority="604" operator="equal">
      <formula>"Pausado"</formula>
    </cfRule>
  </conditionalFormatting>
  <conditionalFormatting sqref="M65">
    <cfRule type="cellIs" dxfId="574" priority="602" operator="equal">
      <formula>"0 unidade(s) vendida(s)"</formula>
    </cfRule>
  </conditionalFormatting>
  <conditionalFormatting sqref="M65">
    <cfRule type="timePeriod" dxfId="573" priority="601" timePeriod="tomorrow">
      <formula>FLOOR(M65,1)=TODAY()+1</formula>
    </cfRule>
  </conditionalFormatting>
  <conditionalFormatting sqref="C65">
    <cfRule type="expression" dxfId="572" priority="600">
      <formula>$B65="Pausado"</formula>
    </cfRule>
  </conditionalFormatting>
  <conditionalFormatting sqref="H65">
    <cfRule type="containsText" dxfId="571" priority="596" operator="containsText" text="17">
      <formula>NOT(ISERROR(SEARCH("17",H65)))</formula>
    </cfRule>
    <cfRule type="containsText" dxfId="570" priority="597" operator="containsText" text="12">
      <formula>NOT(ISERROR(SEARCH("12",H65)))</formula>
    </cfRule>
  </conditionalFormatting>
  <conditionalFormatting sqref="D65">
    <cfRule type="duplicateValues" dxfId="569" priority="595"/>
  </conditionalFormatting>
  <conditionalFormatting sqref="D65:H65">
    <cfRule type="expression" dxfId="568" priority="594">
      <formula>$B65="Pausado"</formula>
    </cfRule>
  </conditionalFormatting>
  <conditionalFormatting sqref="A64:B64">
    <cfRule type="timePeriod" dxfId="567" priority="579" timePeriod="tomorrow">
      <formula>FLOOR(A64,1)=TODAY()+1</formula>
    </cfRule>
  </conditionalFormatting>
  <conditionalFormatting sqref="B64">
    <cfRule type="cellIs" dxfId="566" priority="578" operator="equal">
      <formula>"Ativado"</formula>
    </cfRule>
  </conditionalFormatting>
  <conditionalFormatting sqref="B64">
    <cfRule type="cellIs" dxfId="565" priority="577" operator="equal">
      <formula>"Pausado"</formula>
    </cfRule>
  </conditionalFormatting>
  <conditionalFormatting sqref="M64">
    <cfRule type="cellIs" dxfId="564" priority="576" operator="equal">
      <formula>"0 unidade(s) vendida(s)"</formula>
    </cfRule>
  </conditionalFormatting>
  <conditionalFormatting sqref="M64">
    <cfRule type="timePeriod" dxfId="563" priority="575" timePeriod="tomorrow">
      <formula>FLOOR(M64,1)=TODAY()+1</formula>
    </cfRule>
  </conditionalFormatting>
  <conditionalFormatting sqref="C64">
    <cfRule type="expression" dxfId="562" priority="574">
      <formula>$B64="Pausado"</formula>
    </cfRule>
  </conditionalFormatting>
  <conditionalFormatting sqref="H64">
    <cfRule type="containsText" dxfId="561" priority="572" operator="containsText" text="17">
      <formula>NOT(ISERROR(SEARCH("17",H64)))</formula>
    </cfRule>
    <cfRule type="containsText" dxfId="560" priority="573" operator="containsText" text="12">
      <formula>NOT(ISERROR(SEARCH("12",H64)))</formula>
    </cfRule>
  </conditionalFormatting>
  <conditionalFormatting sqref="D64">
    <cfRule type="duplicateValues" dxfId="559" priority="571"/>
  </conditionalFormatting>
  <conditionalFormatting sqref="D64:H64">
    <cfRule type="expression" dxfId="558" priority="570">
      <formula>$B64="Pausado"</formula>
    </cfRule>
  </conditionalFormatting>
  <conditionalFormatting sqref="A63:B63">
    <cfRule type="timePeriod" dxfId="557" priority="567" timePeriod="tomorrow">
      <formula>FLOOR(A63,1)=TODAY()+1</formula>
    </cfRule>
  </conditionalFormatting>
  <conditionalFormatting sqref="B63">
    <cfRule type="cellIs" dxfId="556" priority="566" operator="equal">
      <formula>"Ativado"</formula>
    </cfRule>
  </conditionalFormatting>
  <conditionalFormatting sqref="B63">
    <cfRule type="cellIs" dxfId="555" priority="565" operator="equal">
      <formula>"Pausado"</formula>
    </cfRule>
  </conditionalFormatting>
  <conditionalFormatting sqref="M63">
    <cfRule type="cellIs" dxfId="554" priority="564" operator="equal">
      <formula>"0 unidade(s) vendida(s)"</formula>
    </cfRule>
  </conditionalFormatting>
  <conditionalFormatting sqref="M63">
    <cfRule type="timePeriod" dxfId="553" priority="563" timePeriod="tomorrow">
      <formula>FLOOR(M63,1)=TODAY()+1</formula>
    </cfRule>
  </conditionalFormatting>
  <conditionalFormatting sqref="C63">
    <cfRule type="expression" dxfId="552" priority="562">
      <formula>$B63="Pausado"</formula>
    </cfRule>
  </conditionalFormatting>
  <conditionalFormatting sqref="H63">
    <cfRule type="containsText" dxfId="551" priority="560" operator="containsText" text="17">
      <formula>NOT(ISERROR(SEARCH("17",H63)))</formula>
    </cfRule>
    <cfRule type="containsText" dxfId="550" priority="561" operator="containsText" text="12">
      <formula>NOT(ISERROR(SEARCH("12",H63)))</formula>
    </cfRule>
  </conditionalFormatting>
  <conditionalFormatting sqref="D63">
    <cfRule type="duplicateValues" dxfId="549" priority="559"/>
  </conditionalFormatting>
  <conditionalFormatting sqref="D63:H63">
    <cfRule type="expression" dxfId="548" priority="558">
      <formula>$B63="Pausado"</formula>
    </cfRule>
  </conditionalFormatting>
  <conditionalFormatting sqref="A62:B62">
    <cfRule type="timePeriod" dxfId="547" priority="555" timePeriod="tomorrow">
      <formula>FLOOR(A62,1)=TODAY()+1</formula>
    </cfRule>
  </conditionalFormatting>
  <conditionalFormatting sqref="B62">
    <cfRule type="cellIs" dxfId="546" priority="554" operator="equal">
      <formula>"Ativado"</formula>
    </cfRule>
  </conditionalFormatting>
  <conditionalFormatting sqref="B62">
    <cfRule type="cellIs" dxfId="545" priority="553" operator="equal">
      <formula>"Pausado"</formula>
    </cfRule>
  </conditionalFormatting>
  <conditionalFormatting sqref="M62">
    <cfRule type="cellIs" dxfId="544" priority="552" operator="equal">
      <formula>"0 unidade(s) vendida(s)"</formula>
    </cfRule>
  </conditionalFormatting>
  <conditionalFormatting sqref="M62">
    <cfRule type="timePeriod" dxfId="543" priority="551" timePeriod="tomorrow">
      <formula>FLOOR(M62,1)=TODAY()+1</formula>
    </cfRule>
  </conditionalFormatting>
  <conditionalFormatting sqref="C62">
    <cfRule type="expression" dxfId="542" priority="550">
      <formula>$B62="Pausado"</formula>
    </cfRule>
  </conditionalFormatting>
  <conditionalFormatting sqref="D62">
    <cfRule type="duplicateValues" dxfId="541" priority="547"/>
  </conditionalFormatting>
  <conditionalFormatting sqref="D62:E62">
    <cfRule type="expression" dxfId="540" priority="546">
      <formula>$B62="Pausado"</formula>
    </cfRule>
  </conditionalFormatting>
  <conditionalFormatting sqref="F62:G62">
    <cfRule type="expression" dxfId="539" priority="545">
      <formula>$B62="Pausado"</formula>
    </cfRule>
  </conditionalFormatting>
  <conditionalFormatting sqref="H62">
    <cfRule type="containsText" dxfId="538" priority="543" operator="containsText" text="17">
      <formula>NOT(ISERROR(SEARCH("17",H62)))</formula>
    </cfRule>
    <cfRule type="containsText" dxfId="537" priority="544" operator="containsText" text="12">
      <formula>NOT(ISERROR(SEARCH("12",H62)))</formula>
    </cfRule>
  </conditionalFormatting>
  <conditionalFormatting sqref="H62">
    <cfRule type="expression" dxfId="536" priority="542">
      <formula>$B62="Pausado"</formula>
    </cfRule>
  </conditionalFormatting>
  <conditionalFormatting sqref="B61">
    <cfRule type="timePeriod" dxfId="535" priority="524" timePeriod="tomorrow">
      <formula>FLOOR(B61,1)=TODAY()+1</formula>
    </cfRule>
  </conditionalFormatting>
  <conditionalFormatting sqref="B61">
    <cfRule type="cellIs" dxfId="534" priority="523" operator="equal">
      <formula>"Ativado"</formula>
    </cfRule>
  </conditionalFormatting>
  <conditionalFormatting sqref="B61">
    <cfRule type="cellIs" dxfId="533" priority="522" operator="equal">
      <formula>"Pausado"</formula>
    </cfRule>
  </conditionalFormatting>
  <conditionalFormatting sqref="M61">
    <cfRule type="cellIs" dxfId="532" priority="521" operator="equal">
      <formula>"0 unidade(s) vendida(s)"</formula>
    </cfRule>
  </conditionalFormatting>
  <conditionalFormatting sqref="M61">
    <cfRule type="timePeriod" dxfId="531" priority="520" timePeriod="tomorrow">
      <formula>FLOOR(M61,1)=TODAY()+1</formula>
    </cfRule>
  </conditionalFormatting>
  <conditionalFormatting sqref="C61">
    <cfRule type="expression" dxfId="530" priority="519">
      <formula>$B61="Pausado"</formula>
    </cfRule>
  </conditionalFormatting>
  <conditionalFormatting sqref="D61">
    <cfRule type="duplicateValues" dxfId="529" priority="518"/>
  </conditionalFormatting>
  <conditionalFormatting sqref="D61:E61">
    <cfRule type="expression" dxfId="528" priority="517">
      <formula>$B61="Pausado"</formula>
    </cfRule>
  </conditionalFormatting>
  <conditionalFormatting sqref="F61:G61">
    <cfRule type="expression" dxfId="527" priority="516">
      <formula>$B61="Pausado"</formula>
    </cfRule>
  </conditionalFormatting>
  <conditionalFormatting sqref="H61">
    <cfRule type="containsText" dxfId="526" priority="514" operator="containsText" text="17">
      <formula>NOT(ISERROR(SEARCH("17",H61)))</formula>
    </cfRule>
    <cfRule type="containsText" dxfId="525" priority="515" operator="containsText" text="12">
      <formula>NOT(ISERROR(SEARCH("12",H61)))</formula>
    </cfRule>
  </conditionalFormatting>
  <conditionalFormatting sqref="H61">
    <cfRule type="expression" dxfId="524" priority="513">
      <formula>$B61="Pausado"</formula>
    </cfRule>
  </conditionalFormatting>
  <conditionalFormatting sqref="A61">
    <cfRule type="timePeriod" dxfId="523" priority="512" timePeriod="tomorrow">
      <formula>FLOOR(A61,1)=TODAY()+1</formula>
    </cfRule>
  </conditionalFormatting>
  <conditionalFormatting sqref="B60">
    <cfRule type="timePeriod" dxfId="522" priority="509" timePeriod="tomorrow">
      <formula>FLOOR(B60,1)=TODAY()+1</formula>
    </cfRule>
  </conditionalFormatting>
  <conditionalFormatting sqref="B60">
    <cfRule type="cellIs" dxfId="521" priority="508" operator="equal">
      <formula>"Ativado"</formula>
    </cfRule>
  </conditionalFormatting>
  <conditionalFormatting sqref="B60">
    <cfRule type="cellIs" dxfId="520" priority="507" operator="equal">
      <formula>"Pausado"</formula>
    </cfRule>
  </conditionalFormatting>
  <conditionalFormatting sqref="M60">
    <cfRule type="cellIs" dxfId="519" priority="506" operator="equal">
      <formula>"0 unidade(s) vendida(s)"</formula>
    </cfRule>
  </conditionalFormatting>
  <conditionalFormatting sqref="M60">
    <cfRule type="timePeriod" dxfId="518" priority="505" timePeriod="tomorrow">
      <formula>FLOOR(M60,1)=TODAY()+1</formula>
    </cfRule>
  </conditionalFormatting>
  <conditionalFormatting sqref="C60">
    <cfRule type="expression" dxfId="517" priority="504">
      <formula>$B60="Pausado"</formula>
    </cfRule>
  </conditionalFormatting>
  <conditionalFormatting sqref="E60">
    <cfRule type="expression" dxfId="516" priority="502">
      <formula>$B60="Pausado"</formula>
    </cfRule>
  </conditionalFormatting>
  <conditionalFormatting sqref="F60:G60">
    <cfRule type="expression" dxfId="515" priority="501">
      <formula>$B60="Pausado"</formula>
    </cfRule>
  </conditionalFormatting>
  <conditionalFormatting sqref="H60">
    <cfRule type="containsText" dxfId="514" priority="499" operator="containsText" text="17">
      <formula>NOT(ISERROR(SEARCH("17",H60)))</formula>
    </cfRule>
    <cfRule type="containsText" dxfId="513" priority="500" operator="containsText" text="12">
      <formula>NOT(ISERROR(SEARCH("12",H60)))</formula>
    </cfRule>
  </conditionalFormatting>
  <conditionalFormatting sqref="H60">
    <cfRule type="expression" dxfId="512" priority="498">
      <formula>$B60="Pausado"</formula>
    </cfRule>
  </conditionalFormatting>
  <conditionalFormatting sqref="A60">
    <cfRule type="timePeriod" dxfId="511" priority="497" timePeriod="tomorrow">
      <formula>FLOOR(A60,1)=TODAY()+1</formula>
    </cfRule>
  </conditionalFormatting>
  <conditionalFormatting sqref="D60">
    <cfRule type="duplicateValues" dxfId="510" priority="496"/>
  </conditionalFormatting>
  <conditionalFormatting sqref="D60">
    <cfRule type="expression" dxfId="509" priority="495">
      <formula>$B60="Pausado"</formula>
    </cfRule>
  </conditionalFormatting>
  <conditionalFormatting sqref="B59">
    <cfRule type="timePeriod" dxfId="508" priority="492" timePeriod="tomorrow">
      <formula>FLOOR(B59,1)=TODAY()+1</formula>
    </cfRule>
  </conditionalFormatting>
  <conditionalFormatting sqref="B59">
    <cfRule type="cellIs" dxfId="507" priority="491" operator="equal">
      <formula>"Ativado"</formula>
    </cfRule>
  </conditionalFormatting>
  <conditionalFormatting sqref="B59">
    <cfRule type="cellIs" dxfId="506" priority="490" operator="equal">
      <formula>"Pausado"</formula>
    </cfRule>
  </conditionalFormatting>
  <conditionalFormatting sqref="M59">
    <cfRule type="cellIs" dxfId="505" priority="489" operator="equal">
      <formula>"0 unidade(s) vendida(s)"</formula>
    </cfRule>
  </conditionalFormatting>
  <conditionalFormatting sqref="M59">
    <cfRule type="timePeriod" dxfId="504" priority="488" timePeriod="tomorrow">
      <formula>FLOOR(M59,1)=TODAY()+1</formula>
    </cfRule>
  </conditionalFormatting>
  <conditionalFormatting sqref="C59">
    <cfRule type="expression" dxfId="503" priority="487">
      <formula>$B59="Pausado"</formula>
    </cfRule>
  </conditionalFormatting>
  <conditionalFormatting sqref="E59">
    <cfRule type="expression" dxfId="502" priority="486">
      <formula>$B59="Pausado"</formula>
    </cfRule>
  </conditionalFormatting>
  <conditionalFormatting sqref="F59:G59">
    <cfRule type="expression" dxfId="501" priority="485">
      <formula>$B59="Pausado"</formula>
    </cfRule>
  </conditionalFormatting>
  <conditionalFormatting sqref="H59">
    <cfRule type="containsText" dxfId="500" priority="483" operator="containsText" text="17">
      <formula>NOT(ISERROR(SEARCH("17",H59)))</formula>
    </cfRule>
    <cfRule type="containsText" dxfId="499" priority="484" operator="containsText" text="12">
      <formula>NOT(ISERROR(SEARCH("12",H59)))</formula>
    </cfRule>
  </conditionalFormatting>
  <conditionalFormatting sqref="H59">
    <cfRule type="expression" dxfId="498" priority="482">
      <formula>$B59="Pausado"</formula>
    </cfRule>
  </conditionalFormatting>
  <conditionalFormatting sqref="A59">
    <cfRule type="timePeriod" dxfId="497" priority="481" timePeriod="tomorrow">
      <formula>FLOOR(A59,1)=TODAY()+1</formula>
    </cfRule>
  </conditionalFormatting>
  <conditionalFormatting sqref="D59">
    <cfRule type="duplicateValues" dxfId="496" priority="480"/>
  </conditionalFormatting>
  <conditionalFormatting sqref="D59">
    <cfRule type="expression" dxfId="495" priority="479">
      <formula>$B59="Pausado"</formula>
    </cfRule>
  </conditionalFormatting>
  <conditionalFormatting sqref="B58">
    <cfRule type="timePeriod" dxfId="494" priority="476" timePeriod="tomorrow">
      <formula>FLOOR(B58,1)=TODAY()+1</formula>
    </cfRule>
  </conditionalFormatting>
  <conditionalFormatting sqref="B58">
    <cfRule type="cellIs" dxfId="493" priority="475" operator="equal">
      <formula>"Ativado"</formula>
    </cfRule>
  </conditionalFormatting>
  <conditionalFormatting sqref="B58">
    <cfRule type="cellIs" dxfId="492" priority="474" operator="equal">
      <formula>"Pausado"</formula>
    </cfRule>
  </conditionalFormatting>
  <conditionalFormatting sqref="M58">
    <cfRule type="cellIs" dxfId="491" priority="473" operator="equal">
      <formula>"0 unidade(s) vendida(s)"</formula>
    </cfRule>
  </conditionalFormatting>
  <conditionalFormatting sqref="M58">
    <cfRule type="timePeriod" dxfId="490" priority="472" timePeriod="tomorrow">
      <formula>FLOOR(M58,1)=TODAY()+1</formula>
    </cfRule>
  </conditionalFormatting>
  <conditionalFormatting sqref="C58">
    <cfRule type="expression" dxfId="489" priority="471">
      <formula>$B58="Pausado"</formula>
    </cfRule>
  </conditionalFormatting>
  <conditionalFormatting sqref="E58">
    <cfRule type="expression" dxfId="488" priority="470">
      <formula>$B58="Pausado"</formula>
    </cfRule>
  </conditionalFormatting>
  <conditionalFormatting sqref="F58:G58">
    <cfRule type="expression" dxfId="487" priority="469">
      <formula>$B58="Pausado"</formula>
    </cfRule>
  </conditionalFormatting>
  <conditionalFormatting sqref="H58">
    <cfRule type="containsText" dxfId="486" priority="467" operator="containsText" text="17">
      <formula>NOT(ISERROR(SEARCH("17",H58)))</formula>
    </cfRule>
    <cfRule type="containsText" dxfId="485" priority="468" operator="containsText" text="12">
      <formula>NOT(ISERROR(SEARCH("12",H58)))</formula>
    </cfRule>
  </conditionalFormatting>
  <conditionalFormatting sqref="H58">
    <cfRule type="expression" dxfId="484" priority="466">
      <formula>$B58="Pausado"</formula>
    </cfRule>
  </conditionalFormatting>
  <conditionalFormatting sqref="A58">
    <cfRule type="timePeriod" dxfId="483" priority="465" timePeriod="tomorrow">
      <formula>FLOOR(A58,1)=TODAY()+1</formula>
    </cfRule>
  </conditionalFormatting>
  <conditionalFormatting sqref="D58">
    <cfRule type="duplicateValues" dxfId="482" priority="464"/>
  </conditionalFormatting>
  <conditionalFormatting sqref="D58">
    <cfRule type="expression" dxfId="481" priority="463">
      <formula>$B58="Pausado"</formula>
    </cfRule>
  </conditionalFormatting>
  <conditionalFormatting sqref="B57">
    <cfRule type="timePeriod" dxfId="480" priority="460" timePeriod="tomorrow">
      <formula>FLOOR(B57,1)=TODAY()+1</formula>
    </cfRule>
  </conditionalFormatting>
  <conditionalFormatting sqref="B57">
    <cfRule type="cellIs" dxfId="479" priority="459" operator="equal">
      <formula>"Ativado"</formula>
    </cfRule>
  </conditionalFormatting>
  <conditionalFormatting sqref="B57">
    <cfRule type="cellIs" dxfId="478" priority="458" operator="equal">
      <formula>"Pausado"</formula>
    </cfRule>
  </conditionalFormatting>
  <conditionalFormatting sqref="M57">
    <cfRule type="cellIs" dxfId="477" priority="457" operator="equal">
      <formula>"0 unidade(s) vendida(s)"</formula>
    </cfRule>
  </conditionalFormatting>
  <conditionalFormatting sqref="M57">
    <cfRule type="timePeriod" dxfId="476" priority="456" timePeriod="tomorrow">
      <formula>FLOOR(M57,1)=TODAY()+1</formula>
    </cfRule>
  </conditionalFormatting>
  <conditionalFormatting sqref="C57">
    <cfRule type="expression" dxfId="475" priority="455">
      <formula>$B57="Pausado"</formula>
    </cfRule>
  </conditionalFormatting>
  <conditionalFormatting sqref="E57">
    <cfRule type="expression" dxfId="474" priority="454">
      <formula>$B57="Pausado"</formula>
    </cfRule>
  </conditionalFormatting>
  <conditionalFormatting sqref="F57:G57">
    <cfRule type="expression" dxfId="473" priority="453">
      <formula>$B57="Pausado"</formula>
    </cfRule>
  </conditionalFormatting>
  <conditionalFormatting sqref="H57">
    <cfRule type="containsText" dxfId="472" priority="451" operator="containsText" text="17">
      <formula>NOT(ISERROR(SEARCH("17",H57)))</formula>
    </cfRule>
    <cfRule type="containsText" dxfId="471" priority="452" operator="containsText" text="12">
      <formula>NOT(ISERROR(SEARCH("12",H57)))</formula>
    </cfRule>
  </conditionalFormatting>
  <conditionalFormatting sqref="H57">
    <cfRule type="expression" dxfId="470" priority="450">
      <formula>$B57="Pausado"</formula>
    </cfRule>
  </conditionalFormatting>
  <conditionalFormatting sqref="A57">
    <cfRule type="timePeriod" dxfId="469" priority="449" timePeriod="tomorrow">
      <formula>FLOOR(A57,1)=TODAY()+1</formula>
    </cfRule>
  </conditionalFormatting>
  <conditionalFormatting sqref="D57">
    <cfRule type="duplicateValues" dxfId="468" priority="448"/>
  </conditionalFormatting>
  <conditionalFormatting sqref="D57">
    <cfRule type="expression" dxfId="467" priority="447">
      <formula>$B57="Pausado"</formula>
    </cfRule>
  </conditionalFormatting>
  <conditionalFormatting sqref="B56">
    <cfRule type="timePeriod" dxfId="466" priority="412" timePeriod="tomorrow">
      <formula>FLOOR(B56,1)=TODAY()+1</formula>
    </cfRule>
  </conditionalFormatting>
  <conditionalFormatting sqref="B56">
    <cfRule type="cellIs" dxfId="465" priority="411" operator="equal">
      <formula>"Ativado"</formula>
    </cfRule>
  </conditionalFormatting>
  <conditionalFormatting sqref="B56">
    <cfRule type="cellIs" dxfId="464" priority="410" operator="equal">
      <formula>"Pausado"</formula>
    </cfRule>
  </conditionalFormatting>
  <conditionalFormatting sqref="M56">
    <cfRule type="cellIs" dxfId="463" priority="409" operator="equal">
      <formula>"0 unidade(s) vendida(s)"</formula>
    </cfRule>
  </conditionalFormatting>
  <conditionalFormatting sqref="M56">
    <cfRule type="timePeriod" dxfId="462" priority="408" timePeriod="tomorrow">
      <formula>FLOOR(M56,1)=TODAY()+1</formula>
    </cfRule>
  </conditionalFormatting>
  <conditionalFormatting sqref="C56">
    <cfRule type="expression" dxfId="461" priority="407">
      <formula>$B56="Pausado"</formula>
    </cfRule>
  </conditionalFormatting>
  <conditionalFormatting sqref="E56">
    <cfRule type="expression" dxfId="460" priority="406">
      <formula>$B56="Pausado"</formula>
    </cfRule>
  </conditionalFormatting>
  <conditionalFormatting sqref="F56:G56">
    <cfRule type="expression" dxfId="459" priority="405">
      <formula>$B56="Pausado"</formula>
    </cfRule>
  </conditionalFormatting>
  <conditionalFormatting sqref="H56">
    <cfRule type="containsText" dxfId="458" priority="403" operator="containsText" text="17">
      <formula>NOT(ISERROR(SEARCH("17",H56)))</formula>
    </cfRule>
    <cfRule type="containsText" dxfId="457" priority="404" operator="containsText" text="12">
      <formula>NOT(ISERROR(SEARCH("12",H56)))</formula>
    </cfRule>
  </conditionalFormatting>
  <conditionalFormatting sqref="H56">
    <cfRule type="expression" dxfId="456" priority="402">
      <formula>$B56="Pausado"</formula>
    </cfRule>
  </conditionalFormatting>
  <conditionalFormatting sqref="A56">
    <cfRule type="timePeriod" dxfId="455" priority="401" timePeriod="tomorrow">
      <formula>FLOOR(A56,1)=TODAY()+1</formula>
    </cfRule>
  </conditionalFormatting>
  <conditionalFormatting sqref="D56">
    <cfRule type="duplicateValues" dxfId="454" priority="400"/>
  </conditionalFormatting>
  <conditionalFormatting sqref="D56">
    <cfRule type="expression" dxfId="453" priority="399">
      <formula>$B56="Pausado"</formula>
    </cfRule>
  </conditionalFormatting>
  <conditionalFormatting sqref="B55">
    <cfRule type="timePeriod" dxfId="452" priority="396" timePeriod="tomorrow">
      <formula>FLOOR(B55,1)=TODAY()+1</formula>
    </cfRule>
  </conditionalFormatting>
  <conditionalFormatting sqref="B55">
    <cfRule type="cellIs" dxfId="451" priority="395" operator="equal">
      <formula>"Ativado"</formula>
    </cfRule>
  </conditionalFormatting>
  <conditionalFormatting sqref="B55">
    <cfRule type="cellIs" dxfId="450" priority="394" operator="equal">
      <formula>"Pausado"</formula>
    </cfRule>
  </conditionalFormatting>
  <conditionalFormatting sqref="M55">
    <cfRule type="cellIs" dxfId="449" priority="393" operator="equal">
      <formula>"0 unidade(s) vendida(s)"</formula>
    </cfRule>
  </conditionalFormatting>
  <conditionalFormatting sqref="M55">
    <cfRule type="timePeriod" dxfId="448" priority="392" timePeriod="tomorrow">
      <formula>FLOOR(M55,1)=TODAY()+1</formula>
    </cfRule>
  </conditionalFormatting>
  <conditionalFormatting sqref="C55">
    <cfRule type="expression" dxfId="447" priority="391">
      <formula>$B55="Pausado"</formula>
    </cfRule>
  </conditionalFormatting>
  <conditionalFormatting sqref="E55">
    <cfRule type="expression" dxfId="446" priority="390">
      <formula>$B55="Pausado"</formula>
    </cfRule>
  </conditionalFormatting>
  <conditionalFormatting sqref="F55:G55">
    <cfRule type="expression" dxfId="445" priority="389">
      <formula>$B55="Pausado"</formula>
    </cfRule>
  </conditionalFormatting>
  <conditionalFormatting sqref="H55">
    <cfRule type="containsText" dxfId="444" priority="387" operator="containsText" text="17">
      <formula>NOT(ISERROR(SEARCH("17",H55)))</formula>
    </cfRule>
    <cfRule type="containsText" dxfId="443" priority="388" operator="containsText" text="12">
      <formula>NOT(ISERROR(SEARCH("12",H55)))</formula>
    </cfRule>
  </conditionalFormatting>
  <conditionalFormatting sqref="H55">
    <cfRule type="expression" dxfId="442" priority="386">
      <formula>$B55="Pausado"</formula>
    </cfRule>
  </conditionalFormatting>
  <conditionalFormatting sqref="A55">
    <cfRule type="timePeriod" dxfId="441" priority="385" timePeriod="tomorrow">
      <formula>FLOOR(A55,1)=TODAY()+1</formula>
    </cfRule>
  </conditionalFormatting>
  <conditionalFormatting sqref="D55">
    <cfRule type="duplicateValues" dxfId="440" priority="384"/>
  </conditionalFormatting>
  <conditionalFormatting sqref="D55">
    <cfRule type="expression" dxfId="439" priority="383">
      <formula>$B55="Pausado"</formula>
    </cfRule>
  </conditionalFormatting>
  <conditionalFormatting sqref="B54">
    <cfRule type="timePeriod" dxfId="438" priority="380" timePeriod="tomorrow">
      <formula>FLOOR(B54,1)=TODAY()+1</formula>
    </cfRule>
  </conditionalFormatting>
  <conditionalFormatting sqref="B54">
    <cfRule type="cellIs" dxfId="437" priority="379" operator="equal">
      <formula>"Ativado"</formula>
    </cfRule>
  </conditionalFormatting>
  <conditionalFormatting sqref="B54">
    <cfRule type="cellIs" dxfId="436" priority="378" operator="equal">
      <formula>"Pausado"</formula>
    </cfRule>
  </conditionalFormatting>
  <conditionalFormatting sqref="M54">
    <cfRule type="cellIs" dxfId="435" priority="377" operator="equal">
      <formula>"0 unidade(s) vendida(s)"</formula>
    </cfRule>
  </conditionalFormatting>
  <conditionalFormatting sqref="M54">
    <cfRule type="timePeriod" dxfId="434" priority="376" timePeriod="tomorrow">
      <formula>FLOOR(M54,1)=TODAY()+1</formula>
    </cfRule>
  </conditionalFormatting>
  <conditionalFormatting sqref="C54">
    <cfRule type="expression" dxfId="433" priority="375">
      <formula>$B54="Pausado"</formula>
    </cfRule>
  </conditionalFormatting>
  <conditionalFormatting sqref="E54">
    <cfRule type="expression" dxfId="432" priority="374">
      <formula>$B54="Pausado"</formula>
    </cfRule>
  </conditionalFormatting>
  <conditionalFormatting sqref="F54:G54">
    <cfRule type="expression" dxfId="431" priority="373">
      <formula>$B54="Pausado"</formula>
    </cfRule>
  </conditionalFormatting>
  <conditionalFormatting sqref="H54">
    <cfRule type="containsText" dxfId="430" priority="371" operator="containsText" text="17">
      <formula>NOT(ISERROR(SEARCH("17",H54)))</formula>
    </cfRule>
    <cfRule type="containsText" dxfId="429" priority="372" operator="containsText" text="12">
      <formula>NOT(ISERROR(SEARCH("12",H54)))</formula>
    </cfRule>
  </conditionalFormatting>
  <conditionalFormatting sqref="H54">
    <cfRule type="expression" dxfId="428" priority="370">
      <formula>$B54="Pausado"</formula>
    </cfRule>
  </conditionalFormatting>
  <conditionalFormatting sqref="A54">
    <cfRule type="timePeriod" dxfId="427" priority="369" timePeriod="tomorrow">
      <formula>FLOOR(A54,1)=TODAY()+1</formula>
    </cfRule>
  </conditionalFormatting>
  <conditionalFormatting sqref="D54">
    <cfRule type="duplicateValues" dxfId="426" priority="368"/>
  </conditionalFormatting>
  <conditionalFormatting sqref="D54">
    <cfRule type="expression" dxfId="425" priority="367">
      <formula>$B54="Pausado"</formula>
    </cfRule>
  </conditionalFormatting>
  <conditionalFormatting sqref="B52:B53">
    <cfRule type="timePeriod" dxfId="424" priority="364" timePeriod="tomorrow">
      <formula>FLOOR(B52,1)=TODAY()+1</formula>
    </cfRule>
  </conditionalFormatting>
  <conditionalFormatting sqref="B52:B53">
    <cfRule type="cellIs" dxfId="423" priority="363" operator="equal">
      <formula>"Ativado"</formula>
    </cfRule>
  </conditionalFormatting>
  <conditionalFormatting sqref="B52:B53">
    <cfRule type="cellIs" dxfId="422" priority="362" operator="equal">
      <formula>"Pausado"</formula>
    </cfRule>
  </conditionalFormatting>
  <conditionalFormatting sqref="M52:M53">
    <cfRule type="cellIs" dxfId="421" priority="361" operator="equal">
      <formula>"0 unidade(s) vendida(s)"</formula>
    </cfRule>
  </conditionalFormatting>
  <conditionalFormatting sqref="M52:M53">
    <cfRule type="timePeriod" dxfId="420" priority="360" timePeriod="tomorrow">
      <formula>FLOOR(M52,1)=TODAY()+1</formula>
    </cfRule>
  </conditionalFormatting>
  <conditionalFormatting sqref="C52:C53">
    <cfRule type="expression" dxfId="419" priority="359">
      <formula>$B52="Pausado"</formula>
    </cfRule>
  </conditionalFormatting>
  <conditionalFormatting sqref="E52:E53">
    <cfRule type="expression" dxfId="418" priority="358">
      <formula>$B52="Pausado"</formula>
    </cfRule>
  </conditionalFormatting>
  <conditionalFormatting sqref="F52:G53">
    <cfRule type="expression" dxfId="417" priority="357">
      <formula>$B52="Pausado"</formula>
    </cfRule>
  </conditionalFormatting>
  <conditionalFormatting sqref="H52:H53">
    <cfRule type="containsText" dxfId="416" priority="355" operator="containsText" text="17">
      <formula>NOT(ISERROR(SEARCH("17",H52)))</formula>
    </cfRule>
    <cfRule type="containsText" dxfId="415" priority="356" operator="containsText" text="12">
      <formula>NOT(ISERROR(SEARCH("12",H52)))</formula>
    </cfRule>
  </conditionalFormatting>
  <conditionalFormatting sqref="H52:H53">
    <cfRule type="expression" dxfId="414" priority="354">
      <formula>$B52="Pausado"</formula>
    </cfRule>
  </conditionalFormatting>
  <conditionalFormatting sqref="A52:A53">
    <cfRule type="timePeriod" dxfId="413" priority="353" timePeriod="tomorrow">
      <formula>FLOOR(A52,1)=TODAY()+1</formula>
    </cfRule>
  </conditionalFormatting>
  <conditionalFormatting sqref="D52:D53">
    <cfRule type="duplicateValues" dxfId="412" priority="352"/>
  </conditionalFormatting>
  <conditionalFormatting sqref="D52:D53">
    <cfRule type="expression" dxfId="411" priority="351">
      <formula>$B52="Pausado"</formula>
    </cfRule>
  </conditionalFormatting>
  <conditionalFormatting sqref="B51">
    <cfRule type="timePeriod" dxfId="410" priority="348" timePeriod="tomorrow">
      <formula>FLOOR(B51,1)=TODAY()+1</formula>
    </cfRule>
  </conditionalFormatting>
  <conditionalFormatting sqref="B51">
    <cfRule type="cellIs" dxfId="409" priority="347" operator="equal">
      <formula>"Ativado"</formula>
    </cfRule>
  </conditionalFormatting>
  <conditionalFormatting sqref="B51">
    <cfRule type="cellIs" dxfId="408" priority="346" operator="equal">
      <formula>"Pausado"</formula>
    </cfRule>
  </conditionalFormatting>
  <conditionalFormatting sqref="M51">
    <cfRule type="cellIs" dxfId="407" priority="345" operator="equal">
      <formula>"0 unidade(s) vendida(s)"</formula>
    </cfRule>
  </conditionalFormatting>
  <conditionalFormatting sqref="M51">
    <cfRule type="timePeriod" dxfId="406" priority="344" timePeriod="tomorrow">
      <formula>FLOOR(M51,1)=TODAY()+1</formula>
    </cfRule>
  </conditionalFormatting>
  <conditionalFormatting sqref="C51">
    <cfRule type="expression" dxfId="405" priority="343">
      <formula>$B51="Pausado"</formula>
    </cfRule>
  </conditionalFormatting>
  <conditionalFormatting sqref="E51">
    <cfRule type="expression" dxfId="404" priority="342">
      <formula>$B51="Pausado"</formula>
    </cfRule>
  </conditionalFormatting>
  <conditionalFormatting sqref="F51:G51">
    <cfRule type="expression" dxfId="403" priority="341">
      <formula>$B51="Pausado"</formula>
    </cfRule>
  </conditionalFormatting>
  <conditionalFormatting sqref="H51">
    <cfRule type="containsText" dxfId="402" priority="339" operator="containsText" text="17">
      <formula>NOT(ISERROR(SEARCH("17",H51)))</formula>
    </cfRule>
    <cfRule type="containsText" dxfId="401" priority="340" operator="containsText" text="12">
      <formula>NOT(ISERROR(SEARCH("12",H51)))</formula>
    </cfRule>
  </conditionalFormatting>
  <conditionalFormatting sqref="H51">
    <cfRule type="expression" dxfId="400" priority="338">
      <formula>$B51="Pausado"</formula>
    </cfRule>
  </conditionalFormatting>
  <conditionalFormatting sqref="A51">
    <cfRule type="timePeriod" dxfId="399" priority="337" timePeriod="tomorrow">
      <formula>FLOOR(A51,1)=TODAY()+1</formula>
    </cfRule>
  </conditionalFormatting>
  <conditionalFormatting sqref="D51">
    <cfRule type="duplicateValues" dxfId="398" priority="334"/>
  </conditionalFormatting>
  <conditionalFormatting sqref="D51">
    <cfRule type="expression" dxfId="397" priority="333">
      <formula>$B51="Pausado"</formula>
    </cfRule>
  </conditionalFormatting>
  <conditionalFormatting sqref="B50">
    <cfRule type="timePeriod" dxfId="396" priority="330" timePeriod="tomorrow">
      <formula>FLOOR(B50,1)=TODAY()+1</formula>
    </cfRule>
  </conditionalFormatting>
  <conditionalFormatting sqref="B50">
    <cfRule type="cellIs" dxfId="395" priority="329" operator="equal">
      <formula>"Ativado"</formula>
    </cfRule>
  </conditionalFormatting>
  <conditionalFormatting sqref="B50">
    <cfRule type="cellIs" dxfId="394" priority="328" operator="equal">
      <formula>"Pausado"</formula>
    </cfRule>
  </conditionalFormatting>
  <conditionalFormatting sqref="M50">
    <cfRule type="cellIs" dxfId="393" priority="327" operator="equal">
      <formula>"0 unidade(s) vendida(s)"</formula>
    </cfRule>
  </conditionalFormatting>
  <conditionalFormatting sqref="M50">
    <cfRule type="timePeriod" dxfId="392" priority="326" timePeriod="tomorrow">
      <formula>FLOOR(M50,1)=TODAY()+1</formula>
    </cfRule>
  </conditionalFormatting>
  <conditionalFormatting sqref="C50">
    <cfRule type="expression" dxfId="391" priority="325">
      <formula>$B50="Pausado"</formula>
    </cfRule>
  </conditionalFormatting>
  <conditionalFormatting sqref="E50">
    <cfRule type="expression" dxfId="390" priority="324">
      <formula>$B50="Pausado"</formula>
    </cfRule>
  </conditionalFormatting>
  <conditionalFormatting sqref="F50:G50">
    <cfRule type="expression" dxfId="389" priority="323">
      <formula>$B50="Pausado"</formula>
    </cfRule>
  </conditionalFormatting>
  <conditionalFormatting sqref="H50">
    <cfRule type="containsText" dxfId="388" priority="321" operator="containsText" text="17">
      <formula>NOT(ISERROR(SEARCH("17",H50)))</formula>
    </cfRule>
    <cfRule type="containsText" dxfId="387" priority="322" operator="containsText" text="12">
      <formula>NOT(ISERROR(SEARCH("12",H50)))</formula>
    </cfRule>
  </conditionalFormatting>
  <conditionalFormatting sqref="H50">
    <cfRule type="expression" dxfId="386" priority="320">
      <formula>$B50="Pausado"</formula>
    </cfRule>
  </conditionalFormatting>
  <conditionalFormatting sqref="A50">
    <cfRule type="timePeriod" dxfId="385" priority="319" timePeriod="tomorrow">
      <formula>FLOOR(A50,1)=TODAY()+1</formula>
    </cfRule>
  </conditionalFormatting>
  <conditionalFormatting sqref="D50">
    <cfRule type="duplicateValues" dxfId="384" priority="318"/>
  </conditionalFormatting>
  <conditionalFormatting sqref="D50">
    <cfRule type="expression" dxfId="383" priority="317">
      <formula>$B50="Pausado"</formula>
    </cfRule>
  </conditionalFormatting>
  <conditionalFormatting sqref="B49">
    <cfRule type="timePeriod" dxfId="382" priority="314" timePeriod="tomorrow">
      <formula>FLOOR(B49,1)=TODAY()+1</formula>
    </cfRule>
  </conditionalFormatting>
  <conditionalFormatting sqref="B49">
    <cfRule type="cellIs" dxfId="381" priority="313" operator="equal">
      <formula>"Ativado"</formula>
    </cfRule>
  </conditionalFormatting>
  <conditionalFormatting sqref="B49">
    <cfRule type="cellIs" dxfId="380" priority="312" operator="equal">
      <formula>"Pausado"</formula>
    </cfRule>
  </conditionalFormatting>
  <conditionalFormatting sqref="M49">
    <cfRule type="cellIs" dxfId="379" priority="311" operator="equal">
      <formula>"0 unidade(s) vendida(s)"</formula>
    </cfRule>
  </conditionalFormatting>
  <conditionalFormatting sqref="M49">
    <cfRule type="timePeriod" dxfId="378" priority="310" timePeriod="tomorrow">
      <formula>FLOOR(M49,1)=TODAY()+1</formula>
    </cfRule>
  </conditionalFormatting>
  <conditionalFormatting sqref="C49">
    <cfRule type="expression" dxfId="377" priority="309">
      <formula>$B49="Pausado"</formula>
    </cfRule>
  </conditionalFormatting>
  <conditionalFormatting sqref="E49">
    <cfRule type="expression" dxfId="376" priority="308">
      <formula>$B49="Pausado"</formula>
    </cfRule>
  </conditionalFormatting>
  <conditionalFormatting sqref="F49:G49">
    <cfRule type="expression" dxfId="375" priority="307">
      <formula>$B49="Pausado"</formula>
    </cfRule>
  </conditionalFormatting>
  <conditionalFormatting sqref="H49">
    <cfRule type="containsText" dxfId="374" priority="305" operator="containsText" text="17">
      <formula>NOT(ISERROR(SEARCH("17",H49)))</formula>
    </cfRule>
    <cfRule type="containsText" dxfId="373" priority="306" operator="containsText" text="12">
      <formula>NOT(ISERROR(SEARCH("12",H49)))</formula>
    </cfRule>
  </conditionalFormatting>
  <conditionalFormatting sqref="H49">
    <cfRule type="expression" dxfId="372" priority="304">
      <formula>$B49="Pausado"</formula>
    </cfRule>
  </conditionalFormatting>
  <conditionalFormatting sqref="A49">
    <cfRule type="timePeriod" dxfId="371" priority="303" timePeriod="tomorrow">
      <formula>FLOOR(A49,1)=TODAY()+1</formula>
    </cfRule>
  </conditionalFormatting>
  <conditionalFormatting sqref="D49">
    <cfRule type="duplicateValues" dxfId="370" priority="302"/>
  </conditionalFormatting>
  <conditionalFormatting sqref="D49">
    <cfRule type="expression" dxfId="369" priority="301">
      <formula>$B49="Pausado"</formula>
    </cfRule>
  </conditionalFormatting>
  <conditionalFormatting sqref="B48">
    <cfRule type="timePeriod" dxfId="368" priority="298" timePeriod="tomorrow">
      <formula>FLOOR(B48,1)=TODAY()+1</formula>
    </cfRule>
  </conditionalFormatting>
  <conditionalFormatting sqref="B48">
    <cfRule type="cellIs" dxfId="367" priority="297" operator="equal">
      <formula>"Ativado"</formula>
    </cfRule>
  </conditionalFormatting>
  <conditionalFormatting sqref="B48">
    <cfRule type="cellIs" dxfId="366" priority="296" operator="equal">
      <formula>"Pausado"</formula>
    </cfRule>
  </conditionalFormatting>
  <conditionalFormatting sqref="M48">
    <cfRule type="cellIs" dxfId="365" priority="295" operator="equal">
      <formula>"0 unidade(s) vendida(s)"</formula>
    </cfRule>
  </conditionalFormatting>
  <conditionalFormatting sqref="M48">
    <cfRule type="timePeriod" dxfId="364" priority="294" timePeriod="tomorrow">
      <formula>FLOOR(M48,1)=TODAY()+1</formula>
    </cfRule>
  </conditionalFormatting>
  <conditionalFormatting sqref="C48">
    <cfRule type="expression" dxfId="363" priority="293">
      <formula>$B48="Pausado"</formula>
    </cfRule>
  </conditionalFormatting>
  <conditionalFormatting sqref="E48">
    <cfRule type="expression" dxfId="362" priority="292">
      <formula>$B48="Pausado"</formula>
    </cfRule>
  </conditionalFormatting>
  <conditionalFormatting sqref="F48:G48">
    <cfRule type="expression" dxfId="361" priority="291">
      <formula>$B48="Pausado"</formula>
    </cfRule>
  </conditionalFormatting>
  <conditionalFormatting sqref="H48">
    <cfRule type="containsText" dxfId="360" priority="289" operator="containsText" text="17">
      <formula>NOT(ISERROR(SEARCH("17",H48)))</formula>
    </cfRule>
    <cfRule type="containsText" dxfId="359" priority="290" operator="containsText" text="12">
      <formula>NOT(ISERROR(SEARCH("12",H48)))</formula>
    </cfRule>
  </conditionalFormatting>
  <conditionalFormatting sqref="H48">
    <cfRule type="expression" dxfId="358" priority="288">
      <formula>$B48="Pausado"</formula>
    </cfRule>
  </conditionalFormatting>
  <conditionalFormatting sqref="A48">
    <cfRule type="timePeriod" dxfId="357" priority="287" timePeriod="tomorrow">
      <formula>FLOOR(A48,1)=TODAY()+1</formula>
    </cfRule>
  </conditionalFormatting>
  <conditionalFormatting sqref="D48">
    <cfRule type="duplicateValues" dxfId="356" priority="286"/>
  </conditionalFormatting>
  <conditionalFormatting sqref="D48">
    <cfRule type="expression" dxfId="355" priority="285">
      <formula>$B48="Pausado"</formula>
    </cfRule>
  </conditionalFormatting>
  <conditionalFormatting sqref="F47:G47">
    <cfRule type="expression" dxfId="354" priority="275">
      <formula>$B47="Pausado"</formula>
    </cfRule>
  </conditionalFormatting>
  <conditionalFormatting sqref="F46:G46">
    <cfRule type="expression" dxfId="353" priority="268">
      <formula>$B46="Pausado"</formula>
    </cfRule>
  </conditionalFormatting>
  <conditionalFormatting sqref="F45:G45">
    <cfRule type="expression" dxfId="352" priority="267">
      <formula>$B45="Pausado"</formula>
    </cfRule>
  </conditionalFormatting>
  <conditionalFormatting sqref="D45:D47">
    <cfRule type="duplicateValues" dxfId="351" priority="3989"/>
  </conditionalFormatting>
  <conditionalFormatting sqref="M44 A44:B44">
    <cfRule type="timePeriod" dxfId="350" priority="262" timePeriod="tomorrow">
      <formula>FLOOR(A44,1)=TODAY()+1</formula>
    </cfRule>
  </conditionalFormatting>
  <conditionalFormatting sqref="B44">
    <cfRule type="cellIs" dxfId="349" priority="261" operator="equal">
      <formula>"Ativado"</formula>
    </cfRule>
  </conditionalFormatting>
  <conditionalFormatting sqref="B44">
    <cfRule type="cellIs" dxfId="348" priority="260" operator="equal">
      <formula>"Pausado"</formula>
    </cfRule>
  </conditionalFormatting>
  <conditionalFormatting sqref="H44">
    <cfRule type="containsText" dxfId="347" priority="258" operator="containsText" text="17">
      <formula>NOT(ISERROR(SEARCH("17",H44)))</formula>
    </cfRule>
    <cfRule type="containsText" dxfId="346" priority="259" operator="containsText" text="12">
      <formula>NOT(ISERROR(SEARCH("12",H44)))</formula>
    </cfRule>
  </conditionalFormatting>
  <conditionalFormatting sqref="M44">
    <cfRule type="cellIs" dxfId="345" priority="257" operator="equal">
      <formula>"0 unidade(s) vendida(s)"</formula>
    </cfRule>
  </conditionalFormatting>
  <conditionalFormatting sqref="H44 C44:E44">
    <cfRule type="expression" dxfId="344" priority="256">
      <formula>$B44="Pausado"</formula>
    </cfRule>
  </conditionalFormatting>
  <conditionalFormatting sqref="F44:G44">
    <cfRule type="expression" dxfId="343" priority="254">
      <formula>$B44="Pausado"</formula>
    </cfRule>
  </conditionalFormatting>
  <conditionalFormatting sqref="D44">
    <cfRule type="duplicateValues" dxfId="342" priority="263"/>
  </conditionalFormatting>
  <conditionalFormatting sqref="C44">
    <cfRule type="duplicateValues" dxfId="341" priority="264"/>
  </conditionalFormatting>
  <conditionalFormatting sqref="M43 A43:B43">
    <cfRule type="timePeriod" dxfId="340" priority="250" timePeriod="tomorrow">
      <formula>FLOOR(A43,1)=TODAY()+1</formula>
    </cfRule>
  </conditionalFormatting>
  <conditionalFormatting sqref="B43">
    <cfRule type="cellIs" dxfId="339" priority="249" operator="equal">
      <formula>"Ativado"</formula>
    </cfRule>
  </conditionalFormatting>
  <conditionalFormatting sqref="B43">
    <cfRule type="cellIs" dxfId="338" priority="248" operator="equal">
      <formula>"Pausado"</formula>
    </cfRule>
  </conditionalFormatting>
  <conditionalFormatting sqref="H43">
    <cfRule type="containsText" dxfId="337" priority="246" operator="containsText" text="17">
      <formula>NOT(ISERROR(SEARCH("17",H43)))</formula>
    </cfRule>
    <cfRule type="containsText" dxfId="336" priority="247" operator="containsText" text="12">
      <formula>NOT(ISERROR(SEARCH("12",H43)))</formula>
    </cfRule>
  </conditionalFormatting>
  <conditionalFormatting sqref="M43">
    <cfRule type="cellIs" dxfId="335" priority="245" operator="equal">
      <formula>"0 unidade(s) vendida(s)"</formula>
    </cfRule>
  </conditionalFormatting>
  <conditionalFormatting sqref="H43 C43:E43">
    <cfRule type="expression" dxfId="334" priority="244">
      <formula>$B43="Pausado"</formula>
    </cfRule>
  </conditionalFormatting>
  <conditionalFormatting sqref="F43:G43">
    <cfRule type="expression" dxfId="333" priority="242">
      <formula>$B43="Pausado"</formula>
    </cfRule>
  </conditionalFormatting>
  <conditionalFormatting sqref="D43">
    <cfRule type="duplicateValues" dxfId="332" priority="251"/>
  </conditionalFormatting>
  <conditionalFormatting sqref="C43">
    <cfRule type="duplicateValues" dxfId="331" priority="252"/>
  </conditionalFormatting>
  <conditionalFormatting sqref="M42 A42:B42">
    <cfRule type="timePeriod" dxfId="330" priority="238" timePeriod="tomorrow">
      <formula>FLOOR(A42,1)=TODAY()+1</formula>
    </cfRule>
  </conditionalFormatting>
  <conditionalFormatting sqref="B42">
    <cfRule type="cellIs" dxfId="329" priority="237" operator="equal">
      <formula>"Ativado"</formula>
    </cfRule>
  </conditionalFormatting>
  <conditionalFormatting sqref="B42">
    <cfRule type="cellIs" dxfId="328" priority="236" operator="equal">
      <formula>"Pausado"</formula>
    </cfRule>
  </conditionalFormatting>
  <conditionalFormatting sqref="H42">
    <cfRule type="containsText" dxfId="327" priority="234" operator="containsText" text="17">
      <formula>NOT(ISERROR(SEARCH("17",H42)))</formula>
    </cfRule>
    <cfRule type="containsText" dxfId="326" priority="235" operator="containsText" text="12">
      <formula>NOT(ISERROR(SEARCH("12",H42)))</formula>
    </cfRule>
  </conditionalFormatting>
  <conditionalFormatting sqref="M42">
    <cfRule type="cellIs" dxfId="325" priority="233" operator="equal">
      <formula>"0 unidade(s) vendida(s)"</formula>
    </cfRule>
  </conditionalFormatting>
  <conditionalFormatting sqref="H42 C42:E42">
    <cfRule type="expression" dxfId="324" priority="232">
      <formula>$B42="Pausado"</formula>
    </cfRule>
  </conditionalFormatting>
  <conditionalFormatting sqref="F42:G42">
    <cfRule type="expression" dxfId="323" priority="230">
      <formula>$B42="Pausado"</formula>
    </cfRule>
  </conditionalFormatting>
  <conditionalFormatting sqref="D42">
    <cfRule type="duplicateValues" dxfId="322" priority="239"/>
  </conditionalFormatting>
  <conditionalFormatting sqref="C42">
    <cfRule type="duplicateValues" dxfId="321" priority="240"/>
  </conditionalFormatting>
  <conditionalFormatting sqref="M41 A41:B41">
    <cfRule type="timePeriod" dxfId="320" priority="226" timePeriod="tomorrow">
      <formula>FLOOR(A41,1)=TODAY()+1</formula>
    </cfRule>
  </conditionalFormatting>
  <conditionalFormatting sqref="B41">
    <cfRule type="cellIs" dxfId="319" priority="225" operator="equal">
      <formula>"Ativado"</formula>
    </cfRule>
  </conditionalFormatting>
  <conditionalFormatting sqref="B41">
    <cfRule type="cellIs" dxfId="318" priority="224" operator="equal">
      <formula>"Pausado"</formula>
    </cfRule>
  </conditionalFormatting>
  <conditionalFormatting sqref="H41">
    <cfRule type="containsText" dxfId="317" priority="222" operator="containsText" text="17">
      <formula>NOT(ISERROR(SEARCH("17",H41)))</formula>
    </cfRule>
    <cfRule type="containsText" dxfId="316" priority="223" operator="containsText" text="12">
      <formula>NOT(ISERROR(SEARCH("12",H41)))</formula>
    </cfRule>
  </conditionalFormatting>
  <conditionalFormatting sqref="M41">
    <cfRule type="cellIs" dxfId="315" priority="221" operator="equal">
      <formula>"0 unidade(s) vendida(s)"</formula>
    </cfRule>
  </conditionalFormatting>
  <conditionalFormatting sqref="H41 C41:E41">
    <cfRule type="expression" dxfId="314" priority="220">
      <formula>$B41="Pausado"</formula>
    </cfRule>
  </conditionalFormatting>
  <conditionalFormatting sqref="F41:G41">
    <cfRule type="expression" dxfId="313" priority="218">
      <formula>$B41="Pausado"</formula>
    </cfRule>
  </conditionalFormatting>
  <conditionalFormatting sqref="D41">
    <cfRule type="duplicateValues" dxfId="312" priority="227"/>
  </conditionalFormatting>
  <conditionalFormatting sqref="C41">
    <cfRule type="duplicateValues" dxfId="311" priority="228"/>
  </conditionalFormatting>
  <conditionalFormatting sqref="M40 A40:B40">
    <cfRule type="timePeriod" dxfId="310" priority="214" timePeriod="tomorrow">
      <formula>FLOOR(A40,1)=TODAY()+1</formula>
    </cfRule>
  </conditionalFormatting>
  <conditionalFormatting sqref="B40">
    <cfRule type="cellIs" dxfId="309" priority="213" operator="equal">
      <formula>"Ativado"</formula>
    </cfRule>
  </conditionalFormatting>
  <conditionalFormatting sqref="B40">
    <cfRule type="cellIs" dxfId="308" priority="212" operator="equal">
      <formula>"Pausado"</formula>
    </cfRule>
  </conditionalFormatting>
  <conditionalFormatting sqref="H40">
    <cfRule type="containsText" dxfId="307" priority="210" operator="containsText" text="17">
      <formula>NOT(ISERROR(SEARCH("17",H40)))</formula>
    </cfRule>
    <cfRule type="containsText" dxfId="306" priority="211" operator="containsText" text="12">
      <formula>NOT(ISERROR(SEARCH("12",H40)))</formula>
    </cfRule>
  </conditionalFormatting>
  <conditionalFormatting sqref="M40">
    <cfRule type="cellIs" dxfId="305" priority="209" operator="equal">
      <formula>"0 unidade(s) vendida(s)"</formula>
    </cfRule>
  </conditionalFormatting>
  <conditionalFormatting sqref="H40 C40:E40">
    <cfRule type="expression" dxfId="304" priority="208">
      <formula>$B40="Pausado"</formula>
    </cfRule>
  </conditionalFormatting>
  <conditionalFormatting sqref="F40:G40">
    <cfRule type="expression" dxfId="303" priority="206">
      <formula>$B40="Pausado"</formula>
    </cfRule>
  </conditionalFormatting>
  <conditionalFormatting sqref="D40">
    <cfRule type="duplicateValues" dxfId="302" priority="215"/>
  </conditionalFormatting>
  <conditionalFormatting sqref="C40">
    <cfRule type="duplicateValues" dxfId="301" priority="216"/>
  </conditionalFormatting>
  <conditionalFormatting sqref="M39 A39:B39">
    <cfRule type="timePeriod" dxfId="300" priority="190" timePeriod="tomorrow">
      <formula>FLOOR(A39,1)=TODAY()+1</formula>
    </cfRule>
  </conditionalFormatting>
  <conditionalFormatting sqref="B39">
    <cfRule type="cellIs" dxfId="299" priority="189" operator="equal">
      <formula>"Ativado"</formula>
    </cfRule>
  </conditionalFormatting>
  <conditionalFormatting sqref="B39">
    <cfRule type="cellIs" dxfId="298" priority="188" operator="equal">
      <formula>"Pausado"</formula>
    </cfRule>
  </conditionalFormatting>
  <conditionalFormatting sqref="H39">
    <cfRule type="containsText" dxfId="297" priority="186" operator="containsText" text="17">
      <formula>NOT(ISERROR(SEARCH("17",H39)))</formula>
    </cfRule>
    <cfRule type="containsText" dxfId="296" priority="187" operator="containsText" text="12">
      <formula>NOT(ISERROR(SEARCH("12",H39)))</formula>
    </cfRule>
  </conditionalFormatting>
  <conditionalFormatting sqref="M39">
    <cfRule type="cellIs" dxfId="295" priority="185" operator="equal">
      <formula>"0 unidade(s) vendida(s)"</formula>
    </cfRule>
  </conditionalFormatting>
  <conditionalFormatting sqref="H39 C39:E39">
    <cfRule type="expression" dxfId="294" priority="184">
      <formula>$B39="Pausado"</formula>
    </cfRule>
  </conditionalFormatting>
  <conditionalFormatting sqref="F39:G39">
    <cfRule type="expression" dxfId="293" priority="182">
      <formula>$B39="Pausado"</formula>
    </cfRule>
  </conditionalFormatting>
  <conditionalFormatting sqref="D39">
    <cfRule type="duplicateValues" dxfId="292" priority="191"/>
  </conditionalFormatting>
  <conditionalFormatting sqref="C39">
    <cfRule type="duplicateValues" dxfId="291" priority="192"/>
  </conditionalFormatting>
  <conditionalFormatting sqref="D38">
    <cfRule type="duplicateValues" dxfId="290" priority="180"/>
  </conditionalFormatting>
  <conditionalFormatting sqref="M38 A38:B38">
    <cfRule type="timePeriod" dxfId="289" priority="177" timePeriod="tomorrow">
      <formula>FLOOR(A38,1)=TODAY()+1</formula>
    </cfRule>
  </conditionalFormatting>
  <conditionalFormatting sqref="B38">
    <cfRule type="cellIs" dxfId="288" priority="176" operator="equal">
      <formula>"Ativado"</formula>
    </cfRule>
  </conditionalFormatting>
  <conditionalFormatting sqref="B38">
    <cfRule type="cellIs" dxfId="287" priority="175" operator="equal">
      <formula>"Pausado"</formula>
    </cfRule>
  </conditionalFormatting>
  <conditionalFormatting sqref="H38">
    <cfRule type="containsText" dxfId="286" priority="173" operator="containsText" text="17">
      <formula>NOT(ISERROR(SEARCH("17",H38)))</formula>
    </cfRule>
    <cfRule type="containsText" dxfId="285" priority="174" operator="containsText" text="12">
      <formula>NOT(ISERROR(SEARCH("12",H38)))</formula>
    </cfRule>
  </conditionalFormatting>
  <conditionalFormatting sqref="M38">
    <cfRule type="cellIs" dxfId="284" priority="172" operator="equal">
      <formula>"0 unidade(s) vendida(s)"</formula>
    </cfRule>
  </conditionalFormatting>
  <conditionalFormatting sqref="H38 C38:E38">
    <cfRule type="expression" dxfId="283" priority="171">
      <formula>$B38="Pausado"</formula>
    </cfRule>
  </conditionalFormatting>
  <conditionalFormatting sqref="F38:G38">
    <cfRule type="expression" dxfId="282" priority="169">
      <formula>$B38="Pausado"</formula>
    </cfRule>
  </conditionalFormatting>
  <conditionalFormatting sqref="D38">
    <cfRule type="duplicateValues" dxfId="281" priority="178"/>
  </conditionalFormatting>
  <conditionalFormatting sqref="C38">
    <cfRule type="duplicateValues" dxfId="280" priority="179"/>
  </conditionalFormatting>
  <conditionalFormatting sqref="H11">
    <cfRule type="containsText" dxfId="279" priority="160" operator="containsText" text="17">
      <formula>NOT(ISERROR(SEARCH("17",H11)))</formula>
    </cfRule>
    <cfRule type="containsText" dxfId="278" priority="161" operator="containsText" text="12">
      <formula>NOT(ISERROR(SEARCH("12",H11)))</formula>
    </cfRule>
  </conditionalFormatting>
  <conditionalFormatting sqref="H11">
    <cfRule type="expression" dxfId="277" priority="158">
      <formula>$B11="Pausado"</formula>
    </cfRule>
  </conditionalFormatting>
  <conditionalFormatting sqref="F11:G11">
    <cfRule type="expression" dxfId="276" priority="156">
      <formula>$B11="Pausado"</formula>
    </cfRule>
  </conditionalFormatting>
  <conditionalFormatting sqref="D11:D37">
    <cfRule type="duplicateValues" dxfId="275" priority="4270"/>
  </conditionalFormatting>
  <conditionalFormatting sqref="C11:C37">
    <cfRule type="duplicateValues" dxfId="274" priority="4272"/>
  </conditionalFormatting>
  <conditionalFormatting sqref="L37">
    <cfRule type="timePeriod" dxfId="273" priority="150" timePeriod="tomorrow">
      <formula>FLOOR(L37,1)=TODAY()+1</formula>
    </cfRule>
  </conditionalFormatting>
  <conditionalFormatting sqref="H37">
    <cfRule type="containsText" dxfId="272" priority="148" operator="containsText" text="17">
      <formula>NOT(ISERROR(SEARCH("17",H37)))</formula>
    </cfRule>
    <cfRule type="containsText" dxfId="271" priority="149" operator="containsText" text="12">
      <formula>NOT(ISERROR(SEARCH("12",H37)))</formula>
    </cfRule>
  </conditionalFormatting>
  <conditionalFormatting sqref="F37:H37">
    <cfRule type="expression" dxfId="270" priority="147">
      <formula>$B37="Pausado"</formula>
    </cfRule>
  </conditionalFormatting>
  <conditionalFormatting sqref="A10:B10 M10">
    <cfRule type="timePeriod" dxfId="269" priority="131" timePeriod="tomorrow">
      <formula>FLOOR(A10,1)=TODAY()+1</formula>
    </cfRule>
  </conditionalFormatting>
  <conditionalFormatting sqref="B10">
    <cfRule type="cellIs" dxfId="268" priority="130" operator="equal">
      <formula>"Ativado"</formula>
    </cfRule>
  </conditionalFormatting>
  <conditionalFormatting sqref="B10">
    <cfRule type="cellIs" dxfId="267" priority="129" operator="equal">
      <formula>"Pausado"</formula>
    </cfRule>
  </conditionalFormatting>
  <conditionalFormatting sqref="M10">
    <cfRule type="cellIs" dxfId="266" priority="128" operator="equal">
      <formula>"0 unidade(s) vendida(s)"</formula>
    </cfRule>
  </conditionalFormatting>
  <conditionalFormatting sqref="C10:E10">
    <cfRule type="expression" dxfId="265" priority="127">
      <formula>$B10="Pausado"</formula>
    </cfRule>
  </conditionalFormatting>
  <conditionalFormatting sqref="H10">
    <cfRule type="containsText" dxfId="264" priority="125" operator="containsText" text="17">
      <formula>NOT(ISERROR(SEARCH("17",H10)))</formula>
    </cfRule>
    <cfRule type="containsText" dxfId="263" priority="126" operator="containsText" text="12">
      <formula>NOT(ISERROR(SEARCH("12",H10)))</formula>
    </cfRule>
  </conditionalFormatting>
  <conditionalFormatting sqref="H10">
    <cfRule type="expression" dxfId="262" priority="124">
      <formula>$B10="Pausado"</formula>
    </cfRule>
  </conditionalFormatting>
  <conditionalFormatting sqref="F10:G10">
    <cfRule type="expression" dxfId="261" priority="122">
      <formula>$B10="Pausado"</formula>
    </cfRule>
  </conditionalFormatting>
  <conditionalFormatting sqref="D10">
    <cfRule type="duplicateValues" dxfId="260" priority="132"/>
  </conditionalFormatting>
  <conditionalFormatting sqref="C10">
    <cfRule type="duplicateValues" dxfId="259" priority="133"/>
  </conditionalFormatting>
  <conditionalFormatting sqref="A9:B9 M9">
    <cfRule type="timePeriod" dxfId="258" priority="118" timePeriod="tomorrow">
      <formula>FLOOR(A9,1)=TODAY()+1</formula>
    </cfRule>
  </conditionalFormatting>
  <conditionalFormatting sqref="B9">
    <cfRule type="cellIs" dxfId="257" priority="117" operator="equal">
      <formula>"Ativado"</formula>
    </cfRule>
  </conditionalFormatting>
  <conditionalFormatting sqref="B9">
    <cfRule type="cellIs" dxfId="256" priority="116" operator="equal">
      <formula>"Pausado"</formula>
    </cfRule>
  </conditionalFormatting>
  <conditionalFormatting sqref="M9">
    <cfRule type="cellIs" dxfId="255" priority="115" operator="equal">
      <formula>"0 unidade(s) vendida(s)"</formula>
    </cfRule>
  </conditionalFormatting>
  <conditionalFormatting sqref="C9:E9">
    <cfRule type="expression" dxfId="254" priority="114">
      <formula>$B9="Pausado"</formula>
    </cfRule>
  </conditionalFormatting>
  <conditionalFormatting sqref="H9">
    <cfRule type="containsText" dxfId="253" priority="112" operator="containsText" text="17">
      <formula>NOT(ISERROR(SEARCH("17",H9)))</formula>
    </cfRule>
    <cfRule type="containsText" dxfId="252" priority="113" operator="containsText" text="12">
      <formula>NOT(ISERROR(SEARCH("12",H9)))</formula>
    </cfRule>
  </conditionalFormatting>
  <conditionalFormatting sqref="H9">
    <cfRule type="expression" dxfId="251" priority="111">
      <formula>$B9="Pausado"</formula>
    </cfRule>
  </conditionalFormatting>
  <conditionalFormatting sqref="F9:G9">
    <cfRule type="expression" dxfId="250" priority="109">
      <formula>$B9="Pausado"</formula>
    </cfRule>
  </conditionalFormatting>
  <conditionalFormatting sqref="D9">
    <cfRule type="duplicateValues" dxfId="249" priority="119"/>
  </conditionalFormatting>
  <conditionalFormatting sqref="C9">
    <cfRule type="duplicateValues" dxfId="248" priority="120"/>
  </conditionalFormatting>
  <conditionalFormatting sqref="A8:B8 M8">
    <cfRule type="timePeriod" dxfId="247" priority="105" timePeriod="tomorrow">
      <formula>FLOOR(A8,1)=TODAY()+1</formula>
    </cfRule>
  </conditionalFormatting>
  <conditionalFormatting sqref="B8">
    <cfRule type="cellIs" dxfId="246" priority="104" operator="equal">
      <formula>"Ativado"</formula>
    </cfRule>
  </conditionalFormatting>
  <conditionalFormatting sqref="B8">
    <cfRule type="cellIs" dxfId="245" priority="103" operator="equal">
      <formula>"Pausado"</formula>
    </cfRule>
  </conditionalFormatting>
  <conditionalFormatting sqref="M8">
    <cfRule type="cellIs" dxfId="244" priority="102" operator="equal">
      <formula>"0 unidade(s) vendida(s)"</formula>
    </cfRule>
  </conditionalFormatting>
  <conditionalFormatting sqref="C8:E8">
    <cfRule type="expression" dxfId="243" priority="101">
      <formula>$B8="Pausado"</formula>
    </cfRule>
  </conditionalFormatting>
  <conditionalFormatting sqref="H8">
    <cfRule type="containsText" dxfId="242" priority="99" operator="containsText" text="17">
      <formula>NOT(ISERROR(SEARCH("17",H8)))</formula>
    </cfRule>
    <cfRule type="containsText" dxfId="241" priority="100" operator="containsText" text="12">
      <formula>NOT(ISERROR(SEARCH("12",H8)))</formula>
    </cfRule>
  </conditionalFormatting>
  <conditionalFormatting sqref="H8">
    <cfRule type="expression" dxfId="240" priority="98">
      <formula>$B8="Pausado"</formula>
    </cfRule>
  </conditionalFormatting>
  <conditionalFormatting sqref="F8:G8">
    <cfRule type="expression" dxfId="239" priority="96">
      <formula>$B8="Pausado"</formula>
    </cfRule>
  </conditionalFormatting>
  <conditionalFormatting sqref="D8">
    <cfRule type="duplicateValues" dxfId="238" priority="106"/>
  </conditionalFormatting>
  <conditionalFormatting sqref="C8">
    <cfRule type="duplicateValues" dxfId="237" priority="107"/>
  </conditionalFormatting>
  <conditionalFormatting sqref="A7:B7 M7">
    <cfRule type="timePeriod" dxfId="236" priority="92" timePeriod="tomorrow">
      <formula>FLOOR(A7,1)=TODAY()+1</formula>
    </cfRule>
  </conditionalFormatting>
  <conditionalFormatting sqref="B7">
    <cfRule type="cellIs" dxfId="235" priority="91" operator="equal">
      <formula>"Ativado"</formula>
    </cfRule>
  </conditionalFormatting>
  <conditionalFormatting sqref="B7">
    <cfRule type="cellIs" dxfId="234" priority="90" operator="equal">
      <formula>"Pausado"</formula>
    </cfRule>
  </conditionalFormatting>
  <conditionalFormatting sqref="M7">
    <cfRule type="cellIs" dxfId="233" priority="89" operator="equal">
      <formula>"0 unidade(s) vendida(s)"</formula>
    </cfRule>
  </conditionalFormatting>
  <conditionalFormatting sqref="C7:E7">
    <cfRule type="expression" dxfId="232" priority="88">
      <formula>$B7="Pausado"</formula>
    </cfRule>
  </conditionalFormatting>
  <conditionalFormatting sqref="H7">
    <cfRule type="containsText" dxfId="231" priority="86" operator="containsText" text="17">
      <formula>NOT(ISERROR(SEARCH("17",H7)))</formula>
    </cfRule>
    <cfRule type="containsText" dxfId="230" priority="87" operator="containsText" text="12">
      <formula>NOT(ISERROR(SEARCH("12",H7)))</formula>
    </cfRule>
  </conditionalFormatting>
  <conditionalFormatting sqref="H7">
    <cfRule type="expression" dxfId="229" priority="85">
      <formula>$B7="Pausado"</formula>
    </cfRule>
  </conditionalFormatting>
  <conditionalFormatting sqref="F7:G7">
    <cfRule type="expression" dxfId="228" priority="83">
      <formula>$B7="Pausado"</formula>
    </cfRule>
  </conditionalFormatting>
  <conditionalFormatting sqref="D7">
    <cfRule type="duplicateValues" dxfId="227" priority="93"/>
  </conditionalFormatting>
  <conditionalFormatting sqref="C7">
    <cfRule type="duplicateValues" dxfId="226" priority="94"/>
  </conditionalFormatting>
  <conditionalFormatting sqref="A6:B6 M6">
    <cfRule type="timePeriod" dxfId="225" priority="79" timePeriod="tomorrow">
      <formula>FLOOR(A6,1)=TODAY()+1</formula>
    </cfRule>
  </conditionalFormatting>
  <conditionalFormatting sqref="B6">
    <cfRule type="cellIs" dxfId="224" priority="78" operator="equal">
      <formula>"Ativado"</formula>
    </cfRule>
  </conditionalFormatting>
  <conditionalFormatting sqref="B6">
    <cfRule type="cellIs" dxfId="223" priority="77" operator="equal">
      <formula>"Pausado"</formula>
    </cfRule>
  </conditionalFormatting>
  <conditionalFormatting sqref="M6">
    <cfRule type="cellIs" dxfId="222" priority="76" operator="equal">
      <formula>"0 unidade(s) vendida(s)"</formula>
    </cfRule>
  </conditionalFormatting>
  <conditionalFormatting sqref="C6:E6">
    <cfRule type="expression" dxfId="221" priority="75">
      <formula>$B6="Pausado"</formula>
    </cfRule>
  </conditionalFormatting>
  <conditionalFormatting sqref="H6">
    <cfRule type="containsText" dxfId="220" priority="73" operator="containsText" text="17">
      <formula>NOT(ISERROR(SEARCH("17",H6)))</formula>
    </cfRule>
    <cfRule type="containsText" dxfId="219" priority="74" operator="containsText" text="12">
      <formula>NOT(ISERROR(SEARCH("12",H6)))</formula>
    </cfRule>
  </conditionalFormatting>
  <conditionalFormatting sqref="H6">
    <cfRule type="expression" dxfId="218" priority="72">
      <formula>$B6="Pausado"</formula>
    </cfRule>
  </conditionalFormatting>
  <conditionalFormatting sqref="F6:G6">
    <cfRule type="expression" dxfId="217" priority="70">
      <formula>$B6="Pausado"</formula>
    </cfRule>
  </conditionalFormatting>
  <conditionalFormatting sqref="D6">
    <cfRule type="duplicateValues" dxfId="216" priority="80"/>
  </conditionalFormatting>
  <conditionalFormatting sqref="C6">
    <cfRule type="duplicateValues" dxfId="215" priority="81"/>
  </conditionalFormatting>
  <conditionalFormatting sqref="C6:C538">
    <cfRule type="duplicateValues" dxfId="214" priority="4333"/>
  </conditionalFormatting>
  <conditionalFormatting sqref="A5:B5 M5">
    <cfRule type="timePeriod" dxfId="213" priority="24" timePeriod="tomorrow">
      <formula>FLOOR(A5,1)=TODAY()+1</formula>
    </cfRule>
  </conditionalFormatting>
  <conditionalFormatting sqref="B5">
    <cfRule type="cellIs" dxfId="212" priority="23" operator="equal">
      <formula>"Ativado"</formula>
    </cfRule>
  </conditionalFormatting>
  <conditionalFormatting sqref="B5">
    <cfRule type="cellIs" dxfId="211" priority="22" operator="equal">
      <formula>"Pausado"</formula>
    </cfRule>
  </conditionalFormatting>
  <conditionalFormatting sqref="M5">
    <cfRule type="cellIs" dxfId="210" priority="21" operator="equal">
      <formula>"0 unidade(s) vendida(s)"</formula>
    </cfRule>
  </conditionalFormatting>
  <conditionalFormatting sqref="C5:E5">
    <cfRule type="expression" dxfId="209" priority="20">
      <formula>$B5="Pausado"</formula>
    </cfRule>
  </conditionalFormatting>
  <conditionalFormatting sqref="H5">
    <cfRule type="containsText" dxfId="208" priority="18" operator="containsText" text="17">
      <formula>NOT(ISERROR(SEARCH("17",H5)))</formula>
    </cfRule>
    <cfRule type="containsText" dxfId="207" priority="19" operator="containsText" text="12">
      <formula>NOT(ISERROR(SEARCH("12",H5)))</formula>
    </cfRule>
  </conditionalFormatting>
  <conditionalFormatting sqref="H5">
    <cfRule type="expression" dxfId="206" priority="17">
      <formula>$B5="Pausado"</formula>
    </cfRule>
  </conditionalFormatting>
  <conditionalFormatting sqref="F5:G5">
    <cfRule type="expression" dxfId="205" priority="15">
      <formula>$B5="Pausado"</formula>
    </cfRule>
  </conditionalFormatting>
  <conditionalFormatting sqref="D5">
    <cfRule type="duplicateValues" dxfId="204" priority="25"/>
  </conditionalFormatting>
  <conditionalFormatting sqref="C5">
    <cfRule type="duplicateValues" dxfId="203" priority="26"/>
  </conditionalFormatting>
  <conditionalFormatting sqref="C5">
    <cfRule type="duplicateValues" dxfId="202" priority="28"/>
  </conditionalFormatting>
  <conditionalFormatting sqref="A4:B4 M4">
    <cfRule type="timePeriod" dxfId="201" priority="10" timePeriod="tomorrow">
      <formula>FLOOR(A4,1)=TODAY()+1</formula>
    </cfRule>
  </conditionalFormatting>
  <conditionalFormatting sqref="B4">
    <cfRule type="cellIs" dxfId="200" priority="9" operator="equal">
      <formula>"Ativado"</formula>
    </cfRule>
  </conditionalFormatting>
  <conditionalFormatting sqref="B4">
    <cfRule type="cellIs" dxfId="199" priority="8" operator="equal">
      <formula>"Pausado"</formula>
    </cfRule>
  </conditionalFormatting>
  <conditionalFormatting sqref="M4">
    <cfRule type="cellIs" dxfId="198" priority="7" operator="equal">
      <formula>"0 unidade(s) vendida(s)"</formula>
    </cfRule>
  </conditionalFormatting>
  <conditionalFormatting sqref="C4:E4">
    <cfRule type="expression" dxfId="197" priority="6">
      <formula>$B4="Pausado"</formula>
    </cfRule>
  </conditionalFormatting>
  <conditionalFormatting sqref="H4">
    <cfRule type="containsText" dxfId="196" priority="4" operator="containsText" text="17">
      <formula>NOT(ISERROR(SEARCH("17",H4)))</formula>
    </cfRule>
    <cfRule type="containsText" dxfId="195" priority="5" operator="containsText" text="12">
      <formula>NOT(ISERROR(SEARCH("12",H4)))</formula>
    </cfRule>
  </conditionalFormatting>
  <conditionalFormatting sqref="H4">
    <cfRule type="expression" dxfId="194" priority="3">
      <formula>$B4="Pausado"</formula>
    </cfRule>
  </conditionalFormatting>
  <conditionalFormatting sqref="F4:G4">
    <cfRule type="expression" dxfId="193" priority="1">
      <formula>$B4="Pausado"</formula>
    </cfRule>
  </conditionalFormatting>
  <conditionalFormatting sqref="D4">
    <cfRule type="duplicateValues" dxfId="192" priority="11"/>
  </conditionalFormatting>
  <conditionalFormatting sqref="C4">
    <cfRule type="duplicateValues" dxfId="191" priority="12"/>
  </conditionalFormatting>
  <conditionalFormatting sqref="C4">
    <cfRule type="duplicateValues" dxfId="190" priority="13"/>
  </conditionalFormatting>
  <dataValidations count="3">
    <dataValidation type="list" allowBlank="1" showInputMessage="1" showErrorMessage="1" sqref="B186:B1048576 A192:A1048576 A169:A179" xr:uid="{7ABD17BD-8AB0-4C3F-AE55-BE2B68D919E0}">
      <formula1>"Ativado,Desativado"</formula1>
    </dataValidation>
    <dataValidation allowBlank="1" showInputMessage="1" showErrorMessage="1" promptTitle="Pesquisar!" prompt="Escreva aqui o que deseja encontrar." sqref="C2" xr:uid="{368791A7-3ADB-41A9-B85C-15BA31484BB3}"/>
    <dataValidation type="decimal" errorStyle="warning" allowBlank="1" showInputMessage="1" showErrorMessage="1" errorTitle="Desconto inválido!" error="Mercado Livre aceita descontos no mínimo 5% e no máximo 70%." sqref="J40:J1048576" xr:uid="{1DB50F87-8C38-47CD-8456-A3282A786F19}">
      <formula1>0.05</formula1>
      <formula2>0.7</formula2>
    </dataValidation>
  </dataValidations>
  <hyperlinks>
    <hyperlink ref="A2" r:id="rId1" display="CENTRAL DE PROMOÇÕES" xr:uid="{0FA1DCD5-541D-4CFE-827C-0C8FD03D1725}"/>
    <hyperlink ref="A70" r:id="rId2" display="Boia Tanque Mb Sprinter 310d /312d /311cdi /313cdi /412cdi" xr:uid="{8535F9E9-3682-472B-9FFE-11080C7C9929}"/>
    <hyperlink ref="A80" r:id="rId3" display="Filtro De Combustível 500ml Bosch - O Par (imperdível)" xr:uid="{03B65493-C6F6-4ACB-82CD-437C998BF2E4}"/>
    <hyperlink ref="A108" r:id="rId4" display="Refletor Parachoque Tras. Lado Direito Sprinter 415/515" xr:uid="{5D6E56A6-1652-4232-9CA3-4C77DB585F8F}"/>
    <hyperlink ref="A109" r:id="rId5" display="Refletor Parachoque Tras. Lado Esquerdo Sprinter 415/515" xr:uid="{9383EA5F-6312-4294-94D3-7C28B9E8A89E}"/>
    <hyperlink ref="A103" r:id="rId6" display="Par Pistão Para Motor Om366la Forjado E Repotenciado Mtu" xr:uid="{FE759918-F98A-4EA7-946E-82C7ED28AA7D}"/>
    <hyperlink ref="A120" r:id="rId7" display="Sprinter Alavanca De Freio De Mão Cdi" xr:uid="{F8D2E217-7A6B-45D3-AE1A-01D642A60F39}"/>
    <hyperlink ref="A130" r:id="rId8" display="Tubo Flexível Freio Dianteiro Ducato 300/4628" xr:uid="{96BE41C9-EE9E-49EE-9DA8-BDA57CE2C402}"/>
    <hyperlink ref="A128" r:id="rId9" display="Tubo De Retorno Bico Injetor Sprinter 311/313 A6110708432" xr:uid="{AAAD6FA7-AD10-4C5A-9A68-182E058CB92A}"/>
    <hyperlink ref="A83" r:id="rId10" display="Kit - Boia Tanque Mb Sprinter + Borracha Da Boia Do Tanque" xr:uid="{E5055022-D492-4BB5-A04D-88C904960B57}"/>
    <hyperlink ref="A102" r:id="rId11" display="Par Lâmpadas Farol Baixo E Alto H4 Philips Original 12v" xr:uid="{7EB77FCF-F41B-42CA-8968-FA40A955CF61}"/>
    <hyperlink ref="A97" r:id="rId12" display="Par Anel Sincronizado 4a/5a Caixa G3-60/61 - O355 O365 O364" xr:uid="{4E0565EA-08BB-4CE4-8A46-FCECAA18EA8A}"/>
    <hyperlink ref="A88" r:id="rId13" display="Kit Lampada Farol Alto Baixo E Lanterna Foco Duplo H1 H7 T10" xr:uid="{0A27CC3B-97BA-4F81-A4EA-A0C508BE985E}"/>
    <hyperlink ref="A71" r:id="rId14" display="http://produto.mercadolivre.com.br/MLB-3666107331-capa-cmbio-de-marcha-moletom-com-capuz-preto-e-vermelho-_JM" xr:uid="{AFF0C1C2-3FD7-4938-BECB-B9CCEA65F3A9}"/>
    <hyperlink ref="A121" r:id="rId15" display="Sprinter Tubo De Agua De Refrigeração Cdi | Mercedes-benz" xr:uid="{5F2A8D29-5C81-4350-B082-77FAAA981D6E}"/>
    <hyperlink ref="A90" r:id="rId16" display="Lâmpada Farol H7 12v 55w Philips Original Halogena" xr:uid="{351347AE-AD27-4024-8220-13E90EA32926}"/>
    <hyperlink ref="A137" r:id="rId17" display="Válvula De Admissão Vs2770 - Eaton - 20 Graus (6 Peças)" xr:uid="{C3A651AE-73A7-4B27-A427-A225E5E2C567}"/>
    <hyperlink ref="A74" r:id="rId18" display="Disco De Tacógrafo Diário 125x24 (caixa Com 100 Unidades)" xr:uid="{F470726A-4BDB-443A-8570-DDC41B66FA2B}"/>
    <hyperlink ref="A101" r:id="rId19" display="Par Lâmpada Farol H7 12v 55w Philips Original Halogena" xr:uid="{F54D13D2-E4AF-4B77-B87C-5E34E87A2447}"/>
    <hyperlink ref="A78" r:id="rId20" display="Farol Sealed Beam 140mm 24v Pradolux" xr:uid="{08B388F5-EABC-493C-AD62-54BCD94BE02A}"/>
    <hyperlink ref="A125" r:id="rId21" display="Terminal Direção L. Dir Sprinter 416/516 2020" xr:uid="{04B7E53C-3486-40A5-93D2-E8423327645E}"/>
    <hyperlink ref="A119" r:id="rId22" display="Sensor De Pressão De Oleo De 0-5 Bar - Dual (dois Comandos)" xr:uid="{718024D5-087F-4CE3-AEFC-FE55FD07B424}"/>
    <hyperlink ref="A91" r:id="rId23" xr:uid="{00647EBC-926D-43B7-AD33-AFCAB9E9705B}"/>
    <hyperlink ref="A122" r:id="rId24" xr:uid="{FB1677C8-8E79-4977-96CD-6C9860207834}"/>
    <hyperlink ref="A126" r:id="rId25" xr:uid="{80DC7F89-B3F6-4E94-B0B6-0992D2444F3E}"/>
    <hyperlink ref="A142" r:id="rId26" xr:uid="{445ADE20-703A-47F4-86E4-8EDBD4DE35EF}"/>
    <hyperlink ref="A131" r:id="rId27" xr:uid="{16F304EC-B24F-4085-BC6A-35F00781C4BE}"/>
    <hyperlink ref="A89" r:id="rId28" xr:uid="{5D4C1277-E5CF-4DB6-9C3A-AC132D408FFA}"/>
    <hyperlink ref="A84" r:id="rId29" xr:uid="{B27433A1-52A6-44AB-88D8-DD2F44FF5A15}"/>
    <hyperlink ref="A86" r:id="rId30" xr:uid="{CCD7A3C9-4149-4D34-92EC-7E7891F040E3}"/>
    <hyperlink ref="A115" r:id="rId31" xr:uid="{E4D28453-1467-4DA0-B67F-99B298419850}"/>
    <hyperlink ref="A112" r:id="rId32" xr:uid="{B3CB677C-AF84-44D5-B3D0-6635E3E2EF3D}"/>
    <hyperlink ref="A113" r:id="rId33" xr:uid="{3CA7440D-3871-4BD4-BE4F-07F14362401D}"/>
    <hyperlink ref="A98" r:id="rId34" xr:uid="{CDFB4F34-24E9-4E02-828E-9DFC240A9D8E}"/>
    <hyperlink ref="A93" r:id="rId35" xr:uid="{224DD44E-1078-4A74-BE7E-1B602B15223E}"/>
    <hyperlink ref="A92" r:id="rId36" xr:uid="{F89544FC-1C71-4309-9999-5282CAEFE95C}"/>
    <hyperlink ref="A96" r:id="rId37" xr:uid="{F95EA541-1EFF-42A5-B6C7-5163126247D0}"/>
    <hyperlink ref="A118" r:id="rId38" xr:uid="{866C00BB-D744-4CB1-A000-EBD1F1FBD71E}"/>
    <hyperlink ref="A81" r:id="rId39" xr:uid="{07552DD0-7F07-4DD2-99F0-A189DFD5513B}"/>
    <hyperlink ref="A135" r:id="rId40" xr:uid="{A5441650-523A-4E59-B6A8-73F5F424E960}"/>
    <hyperlink ref="A95" r:id="rId41" xr:uid="{35B22DD3-6F3F-46F1-B9A5-92C682F8B073}"/>
    <hyperlink ref="A140" r:id="rId42" xr:uid="{93487F04-17C0-44A9-9F78-680BEF6DE629}"/>
    <hyperlink ref="A132" r:id="rId43" xr:uid="{4B249508-AD52-4C19-AB87-94BB63DE41E4}"/>
    <hyperlink ref="A133" r:id="rId44" xr:uid="{9055D533-2409-43EC-B142-032793B57A9D}"/>
    <hyperlink ref="A138" r:id="rId45" xr:uid="{DD7DB196-6D05-49DD-98AF-6321BF8E7849}"/>
    <hyperlink ref="A139" r:id="rId46" xr:uid="{C53CA366-21FE-43E5-86CB-E77A8EA087E3}"/>
    <hyperlink ref="A79" r:id="rId47" xr:uid="{FA1F8FF6-625E-4E0B-B20E-5B0D2F864D20}"/>
    <hyperlink ref="A94" r:id="rId48" xr:uid="{CFEF4B4D-300E-42B3-B4A9-D005EEE948EE}"/>
    <hyperlink ref="A129" r:id="rId49" xr:uid="{F02018FD-F40F-4032-9EEC-93EC6B30EA9D}"/>
    <hyperlink ref="A76" r:id="rId50" xr:uid="{D826D6A3-C783-46F0-B5D3-5A907CED8281}"/>
    <hyperlink ref="A72" r:id="rId51" xr:uid="{5681260F-AF3D-4567-955A-18476FA002BF}"/>
    <hyperlink ref="A110" r:id="rId52" xr:uid="{6E1923A9-4F86-4E48-A66C-0A8B882668D1}"/>
    <hyperlink ref="A114" r:id="rId53" xr:uid="{E1D0392C-CE17-4ED4-B1DA-3CF6C21DB936}"/>
    <hyperlink ref="A117" r:id="rId54" xr:uid="{D82FFD6F-1A09-4109-9D81-1EB8D9D53F64}"/>
    <hyperlink ref="A124" r:id="rId55" xr:uid="{57BEB403-7881-4BF9-B049-5EF815F34896}"/>
    <hyperlink ref="A141" r:id="rId56" xr:uid="{7987B0AD-1DA0-4D97-8F76-FA528811BB3E}"/>
    <hyperlink ref="A75" r:id="rId57" xr:uid="{8ED0E58D-37B8-47C8-828D-9AD52235B352}"/>
    <hyperlink ref="A134" r:id="rId58" xr:uid="{409A3AA9-3498-4F81-955F-C9988E978DDE}"/>
    <hyperlink ref="A136" r:id="rId59" xr:uid="{8529E5E4-2E29-4D59-8497-2906498D1BEE}"/>
    <hyperlink ref="A99" r:id="rId60" xr:uid="{4A0AFC55-75BE-47EB-B041-450E02FE3FD3}"/>
    <hyperlink ref="A100" r:id="rId61" xr:uid="{587343F7-B762-4989-9182-63E15C6A7785}"/>
    <hyperlink ref="A73" r:id="rId62" xr:uid="{FEE51998-4ECE-4E35-8514-E28191C93461}"/>
    <hyperlink ref="A148" r:id="rId63" xr:uid="{12D60957-CD19-4DED-9F13-576566CC5CD6}"/>
    <hyperlink ref="A87" r:id="rId64" xr:uid="{31E761F2-094B-416C-8822-F0C678795DEF}"/>
    <hyperlink ref="A116" r:id="rId65" xr:uid="{BB807448-781D-4641-81E8-AEA755AF95C7}"/>
    <hyperlink ref="A104" r:id="rId66" xr:uid="{5C5E32D6-7D66-4E54-82CE-E6AAA97E5BE3}"/>
    <hyperlink ref="A127" r:id="rId67" xr:uid="{24BA0554-9B5C-40F2-A20B-308C92B703FF}"/>
    <hyperlink ref="A106" r:id="rId68" xr:uid="{5EFB6A11-7CCE-4308-8FDE-5A532B1510DD}"/>
    <hyperlink ref="A107" r:id="rId69" xr:uid="{8806E67B-9306-46DD-8B8A-B85927AFACC4}"/>
    <hyperlink ref="E105" r:id="rId70" display="https://produto.mercadolivre.com.br/MLB-5214366924-parabarro-kia-certato-2009-a-2003-direito-_JM" xr:uid="{3936DDB6-221E-40FB-93B2-1779D1DB3B1B}"/>
    <hyperlink ref="A105" r:id="rId71" xr:uid="{4B2FFDE2-EA38-4DD6-993A-82EBDF44E385}"/>
    <hyperlink ref="A82" r:id="rId72" xr:uid="{21BA3B12-28F1-4D23-921D-9EA0DB9768E8}"/>
    <hyperlink ref="A77" r:id="rId73" xr:uid="{31C8E43A-7075-40C7-ABFE-C0F3F5555EB8}"/>
    <hyperlink ref="A85" r:id="rId74" xr:uid="{BD31FA6F-103E-43FA-859C-76A96D068D10}"/>
    <hyperlink ref="A123" r:id="rId75" xr:uid="{8FA3BF5B-21C5-4697-9B85-ABC1D951C63F}"/>
    <hyperlink ref="A143" r:id="rId76" xr:uid="{D748DE91-B403-43E5-A4F1-EEE8C5C69531}"/>
    <hyperlink ref="A144" r:id="rId77" xr:uid="{5BEB0F50-B678-4692-8B2D-46B69261F08E}"/>
    <hyperlink ref="A145" r:id="rId78" xr:uid="{511D2EF7-0349-407F-9FBE-5BF10A9A3990}"/>
    <hyperlink ref="A146" r:id="rId79" xr:uid="{83E771FF-01A7-4A3B-9FDC-196BF40BCAC4}"/>
    <hyperlink ref="A147" r:id="rId80" xr:uid="{AEFF66AB-8B57-4971-A6F2-CF50B23961DB}"/>
    <hyperlink ref="A149" r:id="rId81" xr:uid="{987B962E-C539-44A9-AAE5-B518486F3683}"/>
    <hyperlink ref="A150" r:id="rId82" xr:uid="{3E6D60DB-80B9-4693-B0A0-8512280B64B9}"/>
    <hyperlink ref="A69" r:id="rId83" xr:uid="{9FE82C31-5B04-4A44-8C08-914BB85DF4BA}"/>
    <hyperlink ref="A64" r:id="rId84" xr:uid="{FE64CED3-3632-4DF4-93A2-3C99D26FA43E}"/>
    <hyperlink ref="A63" r:id="rId85" xr:uid="{1A871ACA-6760-418E-BC2B-97310DD4AADA}"/>
    <hyperlink ref="A62" r:id="rId86" xr:uid="{DFC7E096-1F19-4832-BA4D-19E273D10455}"/>
    <hyperlink ref="A65" r:id="rId87" xr:uid="{D092C542-B8EB-4289-84E1-0153749ABF78}"/>
    <hyperlink ref="A61" r:id="rId88" xr:uid="{9125A19B-D9D7-44EC-8289-97ADD7F97466}"/>
    <hyperlink ref="A58" r:id="rId89" xr:uid="{42CD16FF-4BA6-435C-B3C2-38F30C169D25}"/>
    <hyperlink ref="A60" r:id="rId90" xr:uid="{9A37A6B7-9C92-4817-9DE3-D4E17B843002}"/>
    <hyperlink ref="A59" r:id="rId91" xr:uid="{469689A0-E2ED-41F8-9EA1-DFCE06CD71A3}"/>
    <hyperlink ref="A57" r:id="rId92" xr:uid="{5D8A601E-A5CA-407D-9226-92D1C1BA5F29}"/>
    <hyperlink ref="A56" r:id="rId93" xr:uid="{46CAA5FA-CD7F-4289-97B2-5BF84EE7FDDF}"/>
    <hyperlink ref="A54" r:id="rId94" xr:uid="{A6F47FD6-3CAD-4C67-B7D0-B8A287AC5490}"/>
    <hyperlink ref="A52" r:id="rId95" xr:uid="{91C11BD5-5BD5-4A5D-A891-6D0975D72993}"/>
    <hyperlink ref="A53" r:id="rId96" xr:uid="{EB7BF312-7879-47F9-BF7A-9CA03CFA9316}"/>
    <hyperlink ref="A50" r:id="rId97" xr:uid="{BC8902BA-796E-4232-9389-09749F378646}"/>
    <hyperlink ref="A49" r:id="rId98" xr:uid="{8EC75E03-30DC-4B90-A344-175DE2CDA680}"/>
    <hyperlink ref="A47" r:id="rId99" xr:uid="{C9180875-5C4C-4DF3-A7DB-F1F0D5F9FCAC}"/>
    <hyperlink ref="A48" r:id="rId100" xr:uid="{F146E2F9-0FEF-4870-8403-888DDB5FA5A9}"/>
    <hyperlink ref="A46" r:id="rId101" xr:uid="{D8D908C8-3567-44F0-8978-402DD5E828D4}"/>
    <hyperlink ref="A45" r:id="rId102" xr:uid="{7D8CD738-B79D-4ED6-A28B-A79CE89038E6}"/>
    <hyperlink ref="A44" r:id="rId103" xr:uid="{C9257CF1-5BAE-4C76-A151-69CE34EFDA55}"/>
    <hyperlink ref="A43" r:id="rId104" xr:uid="{B77C3C55-F75D-4039-8E05-A526BE25C228}"/>
    <hyperlink ref="A42" r:id="rId105" xr:uid="{6C27A839-FE21-473E-ACEB-30DBFFE9C34E}"/>
    <hyperlink ref="A111" r:id="rId106" xr:uid="{A9F28D41-5272-4E2C-8384-27DEEFEE4DDA}"/>
    <hyperlink ref="A67" r:id="rId107" xr:uid="{BBFD6805-E3EC-4D84-B967-8E3656A2A426}"/>
    <hyperlink ref="A66" r:id="rId108" xr:uid="{299CFD30-C37F-4C98-ABCB-1342D8C3357C}"/>
    <hyperlink ref="A55" r:id="rId109" xr:uid="{3EB53F17-34D0-433A-8B0B-AAA8C5B27CF3}"/>
    <hyperlink ref="A51" r:id="rId110" xr:uid="{3FD64B5B-02B7-4479-8403-048C687DBA82}"/>
    <hyperlink ref="A41" r:id="rId111" xr:uid="{B731EE9E-3230-40DA-8508-87674C12667B}"/>
    <hyperlink ref="A40" r:id="rId112" xr:uid="{665149DA-B060-4ADB-BD38-67EA381072D7}"/>
    <hyperlink ref="A38" r:id="rId113" xr:uid="{EBC7BEBE-B4C7-4B1D-B6D5-861FC2A4CD24}"/>
    <hyperlink ref="A39" r:id="rId114" xr:uid="{361C2BE4-3A7C-4DF8-B7D6-6AB9564E7717}"/>
    <hyperlink ref="A11" r:id="rId115" xr:uid="{0F159D5D-00B7-42B2-8D96-B1545DD53A4D}"/>
    <hyperlink ref="A12" r:id="rId116" xr:uid="{C3068054-6AB7-4580-9068-0013CE33E0EA}"/>
    <hyperlink ref="A13" r:id="rId117" xr:uid="{33A0A91E-8107-48C6-9D01-047BFE85B978}"/>
    <hyperlink ref="A14" r:id="rId118" xr:uid="{C6C73085-392E-4BEB-98B3-2C1DF567D91E}"/>
    <hyperlink ref="A15" r:id="rId119" xr:uid="{F8A6F355-794F-46DD-8C69-5C6479D9EF4B}"/>
    <hyperlink ref="A16" r:id="rId120" xr:uid="{F6B4E1EC-269B-497D-9A61-8D17806B410F}"/>
    <hyperlink ref="A17" r:id="rId121" xr:uid="{6862F260-0C56-4739-A9F4-62E24982DB53}"/>
    <hyperlink ref="A18" r:id="rId122" xr:uid="{30DC6A66-5821-4FD7-A138-A4BE48940AAC}"/>
    <hyperlink ref="A19" r:id="rId123" xr:uid="{B5AB9AB1-D399-401E-8D97-D34092C093AD}"/>
    <hyperlink ref="A20" r:id="rId124" xr:uid="{746FAFB7-8E2B-4EE2-A90B-64D8A7D44B80}"/>
    <hyperlink ref="A21" r:id="rId125" xr:uid="{0FC50052-5579-4C54-9121-DEDA8500F1EF}"/>
    <hyperlink ref="A22" r:id="rId126" xr:uid="{510EA034-AB6F-4A64-AD40-8ED8872EB47D}"/>
    <hyperlink ref="A23" r:id="rId127" xr:uid="{1523E013-B03C-43AC-A079-3E1A24BADAE5}"/>
    <hyperlink ref="A24" r:id="rId128" xr:uid="{801F8131-DB06-4FF3-BC31-CCA74A9BEBAD}"/>
    <hyperlink ref="A25" r:id="rId129" xr:uid="{7F7B632E-78AC-4242-A559-66AEE89904D6}"/>
    <hyperlink ref="A26" r:id="rId130" xr:uid="{0D0A6776-222C-411D-8CEE-2E3B4291CB36}"/>
    <hyperlink ref="A27" r:id="rId131" xr:uid="{F118608C-61F1-4A6F-9825-67F6102F0F63}"/>
    <hyperlink ref="A28" r:id="rId132" xr:uid="{65855461-6327-4B2D-AD8F-AD6951CC7E9B}"/>
    <hyperlink ref="A29" r:id="rId133" xr:uid="{BB5BA6D0-23F6-40F4-B169-4E53736E5F1F}"/>
    <hyperlink ref="A30" r:id="rId134" xr:uid="{C08C4D00-7BF3-43BB-9909-6C39F3BA7914}"/>
    <hyperlink ref="A31" r:id="rId135" xr:uid="{34E81EB0-1D0F-4A97-B31E-9C3B095CF137}"/>
    <hyperlink ref="A32" r:id="rId136" xr:uid="{AA837B60-B8B9-44D7-88AF-EAF7D9C25D50}"/>
    <hyperlink ref="A33" r:id="rId137" xr:uid="{05244FE1-2285-4B05-B95D-B1183F542B6E}"/>
    <hyperlink ref="A34" r:id="rId138" xr:uid="{5B34DADD-DB51-40D4-9964-EBCDD20C12A1}"/>
    <hyperlink ref="A35" r:id="rId139" xr:uid="{B88E7587-C145-4495-8B52-B5F18B18CFB8}"/>
    <hyperlink ref="A36" r:id="rId140" xr:uid="{E1711CC8-6F4B-48D8-9A31-B0DF81943E77}"/>
    <hyperlink ref="A37" r:id="rId141" xr:uid="{B17C3E0B-9557-4940-AB70-9D0A6B537126}"/>
    <hyperlink ref="A10" r:id="rId142" xr:uid="{9893F540-79E7-4982-A6A5-2CD2E8E56EC6}"/>
    <hyperlink ref="A9" r:id="rId143" xr:uid="{F2F13DBC-E241-4EB3-806D-8A43ADDE74B8}"/>
    <hyperlink ref="A8" r:id="rId144" xr:uid="{7BB312FE-3C48-45FF-90CE-5E5DA3813C0C}"/>
    <hyperlink ref="A7" r:id="rId145" xr:uid="{440EFD69-D12F-4EC2-B552-E47C875BE8C6}"/>
    <hyperlink ref="A6" r:id="rId146" xr:uid="{62E1C175-0A8A-41BB-9ACA-4456093DCA92}"/>
    <hyperlink ref="A5" r:id="rId147" xr:uid="{DFCE20F8-8088-4EE1-B2CA-07B0151E06C6}"/>
    <hyperlink ref="A4" r:id="rId148" xr:uid="{218A96FB-02CF-4E9D-8ADF-7199EBB9334F}"/>
  </hyperlinks>
  <pageMargins left="0.511811024" right="0.511811024" top="0.78740157499999996" bottom="0.78740157499999996" header="0.31496062000000002" footer="0.31496062000000002"/>
  <pageSetup paperSize="9" orientation="portrait" r:id="rId149"/>
  <drawing r:id="rId150"/>
  <legacyDrawing r:id="rId15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152" name="Button 2">
              <controlPr defaultSize="0" print="0" autoFill="0" autoPict="0" macro="[0]!AbrirPesquisaML">
                <anchor moveWithCells="1" sizeWithCells="1">
                  <from>
                    <xdr:col>6</xdr:col>
                    <xdr:colOff>723900</xdr:colOff>
                    <xdr:row>0</xdr:row>
                    <xdr:rowOff>47625</xdr:rowOff>
                  </from>
                  <to>
                    <xdr:col>10</xdr:col>
                    <xdr:colOff>57150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153" name="Button 3">
              <controlPr defaultSize="0" print="0" autoFill="0" autoPict="0" macro="[0]!novo_anuncio">
                <anchor moveWithCells="1" sizeWithCells="1">
                  <from>
                    <xdr:col>2</xdr:col>
                    <xdr:colOff>19050</xdr:colOff>
                    <xdr:row>1</xdr:row>
                    <xdr:rowOff>9525</xdr:rowOff>
                  </from>
                  <to>
                    <xdr:col>3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87" id="{10FB8022-754C-4406-9336-9FFDBB0AA9F5}">
            <xm:f>IF('Central de Promoções'!J138&lt;TODAY(),"","")</xm:f>
            <x14:dxf>
              <font>
                <b/>
                <i val="0"/>
                <color rgb="FFFF0000"/>
              </font>
            </x14:dxf>
          </x14:cfRule>
          <xm:sqref>J180:J197</xm:sqref>
        </x14:conditionalFormatting>
        <x14:conditionalFormatting xmlns:xm="http://schemas.microsoft.com/office/excel/2006/main">
          <x14:cfRule type="expression" priority="1253" id="{10FB8022-754C-4406-9336-9FFDBB0AA9F5}">
            <xm:f>IF('Central de Promoções'!J144&lt;TODAY(),"","")</xm:f>
            <x14:dxf>
              <font>
                <b/>
                <i val="0"/>
                <color rgb="FFFF0000"/>
              </font>
            </x14:dxf>
          </x14:cfRule>
          <xm:sqref>J148:J151</xm:sqref>
        </x14:conditionalFormatting>
        <x14:conditionalFormatting xmlns:xm="http://schemas.microsoft.com/office/excel/2006/main">
          <x14:cfRule type="expression" priority="1291" id="{10FB8022-754C-4406-9336-9FFDBB0AA9F5}">
            <xm:f>IF('Central de Promoções'!J148&lt;TODAY(),"","")</xm:f>
            <x14:dxf>
              <font>
                <b/>
                <i val="0"/>
                <color rgb="FFFF0000"/>
              </font>
            </x14:dxf>
          </x14:cfRule>
          <xm:sqref>J144</xm:sqref>
        </x14:conditionalFormatting>
        <x14:conditionalFormatting xmlns:xm="http://schemas.microsoft.com/office/excel/2006/main">
          <x14:cfRule type="expression" priority="2866" id="{10FB8022-754C-4406-9336-9FFDBB0AA9F5}">
            <xm:f>IF('Central de Promoções'!J70&lt;TODAY(),"","")</xm:f>
            <x14:dxf>
              <font>
                <b/>
                <i val="0"/>
                <color rgb="FFFF0000"/>
              </font>
            </x14:dxf>
          </x14:cfRule>
          <xm:sqref>J152 J70:J142</xm:sqref>
        </x14:conditionalFormatting>
        <x14:conditionalFormatting xmlns:xm="http://schemas.microsoft.com/office/excel/2006/main">
          <x14:cfRule type="expression" priority="2868" id="{10FB8022-754C-4406-9336-9FFDBB0AA9F5}">
            <xm:f>IF('Central de Promoções'!J152&lt;TODAY(),"","")</xm:f>
            <x14:dxf>
              <font>
                <b/>
                <i val="0"/>
                <color rgb="FFFF0000"/>
              </font>
            </x14:dxf>
          </x14:cfRule>
          <xm:sqref>J145:J147</xm:sqref>
        </x14:conditionalFormatting>
        <x14:conditionalFormatting xmlns:xm="http://schemas.microsoft.com/office/excel/2006/main">
          <x14:cfRule type="expression" priority="2945" id="{10FB8022-754C-4406-9336-9FFDBB0AA9F5}">
            <xm:f>IF('Central de Promoções'!J161&lt;TODAY(),"","")</xm:f>
            <x14:dxf>
              <font>
                <b/>
                <i val="0"/>
                <color rgb="FFFF0000"/>
              </font>
            </x14:dxf>
          </x14:cfRule>
          <xm:sqref>J153:J154</xm:sqref>
        </x14:conditionalFormatting>
        <x14:conditionalFormatting xmlns:xm="http://schemas.microsoft.com/office/excel/2006/main">
          <x14:cfRule type="expression" priority="2948" id="{D89AB1BE-3DA8-4A0F-B548-9CC3E7193FC7}">
            <xm:f>IF('Central de Promoções'!J144&lt;TODAY(),"","")</xm:f>
            <x14:dxf>
              <font>
                <b/>
                <i val="0"/>
                <color rgb="FFFF0000"/>
              </font>
            </x14:dxf>
          </x14:cfRule>
          <xm:sqref>J143</xm:sqref>
        </x14:conditionalFormatting>
        <x14:conditionalFormatting xmlns:xm="http://schemas.microsoft.com/office/excel/2006/main">
          <x14:cfRule type="expression" priority="2972" id="{D89AB1BE-3DA8-4A0F-B548-9CC3E7193FC7}">
            <xm:f>IF('Central de Promoções'!J165&lt;TODAY(),"","")</xm:f>
            <x14:dxf>
              <font>
                <b/>
                <i val="0"/>
                <color rgb="FFFF0000"/>
              </font>
            </x14:dxf>
          </x14:cfRule>
          <xm:sqref>J155</xm:sqref>
        </x14:conditionalFormatting>
        <x14:conditionalFormatting xmlns:xm="http://schemas.microsoft.com/office/excel/2006/main">
          <x14:cfRule type="expression" priority="3025" id="{D89AB1BE-3DA8-4A0F-B548-9CC3E7193FC7}">
            <xm:f>IF('Central de Promoções'!J171&lt;TODAY(),"","")</xm:f>
            <x14:dxf>
              <font>
                <b/>
                <i val="0"/>
                <color rgb="FFFF0000"/>
              </font>
            </x14:dxf>
          </x14:cfRule>
          <xm:sqref>J158</xm:sqref>
        </x14:conditionalFormatting>
        <x14:conditionalFormatting xmlns:xm="http://schemas.microsoft.com/office/excel/2006/main">
          <x14:cfRule type="expression" priority="3086" id="{D89AB1BE-3DA8-4A0F-B548-9CC3E7193FC7}">
            <xm:f>IF('Central de Promoções'!J176&lt;TODAY(),"","")</xm:f>
            <x14:dxf>
              <font>
                <b/>
                <i val="0"/>
                <color rgb="FFFF0000"/>
              </font>
            </x14:dxf>
          </x14:cfRule>
          <xm:sqref>J160:J162</xm:sqref>
        </x14:conditionalFormatting>
        <x14:conditionalFormatting xmlns:xm="http://schemas.microsoft.com/office/excel/2006/main">
          <x14:cfRule type="expression" priority="3118" id="{D89AB1BE-3DA8-4A0F-B548-9CC3E7193FC7}">
            <xm:f>IF('Central de Promoções'!J190&lt;TODAY(),"","")</xm:f>
            <x14:dxf>
              <font>
                <b/>
                <i val="0"/>
                <color rgb="FFFF0000"/>
              </font>
            </x14:dxf>
          </x14:cfRule>
          <xm:sqref>J163:J164</xm:sqref>
        </x14:conditionalFormatting>
        <x14:conditionalFormatting xmlns:xm="http://schemas.microsoft.com/office/excel/2006/main">
          <x14:cfRule type="expression" priority="3151" id="{D89AB1BE-3DA8-4A0F-B548-9CC3E7193FC7}">
            <xm:f>IF('Central de Promoções'!J193&lt;TODAY(),"","")</xm:f>
            <x14:dxf>
              <font>
                <b/>
                <i val="0"/>
                <color rgb="FFFF0000"/>
              </font>
            </x14:dxf>
          </x14:cfRule>
          <xm:sqref>J165</xm:sqref>
        </x14:conditionalFormatting>
        <x14:conditionalFormatting xmlns:xm="http://schemas.microsoft.com/office/excel/2006/main">
          <x14:cfRule type="expression" priority="3185" id="{D89AB1BE-3DA8-4A0F-B548-9CC3E7193FC7}">
            <xm:f>IF('Central de Promoções'!J200&lt;TODAY(),"","")</xm:f>
            <x14:dxf>
              <font>
                <b/>
                <i val="0"/>
                <color rgb="FFFF0000"/>
              </font>
            </x14:dxf>
          </x14:cfRule>
          <xm:sqref>J166</xm:sqref>
        </x14:conditionalFormatting>
        <x14:conditionalFormatting xmlns:xm="http://schemas.microsoft.com/office/excel/2006/main">
          <x14:cfRule type="expression" priority="3220" id="{D89AB1BE-3DA8-4A0F-B548-9CC3E7193FC7}">
            <xm:f>IF('Central de Promoções'!J202&lt;TODAY(),"","")</xm:f>
            <x14:dxf>
              <font>
                <b/>
                <i val="0"/>
                <color rgb="FFFF0000"/>
              </font>
            </x14:dxf>
          </x14:cfRule>
          <xm:sqref>J167:J168</xm:sqref>
        </x14:conditionalFormatting>
        <x14:conditionalFormatting xmlns:xm="http://schemas.microsoft.com/office/excel/2006/main">
          <x14:cfRule type="expression" priority="3256" id="{D89AB1BE-3DA8-4A0F-B548-9CC3E7193FC7}">
            <xm:f>IF('Central de Promoções'!J207&lt;TODAY(),"","")</xm:f>
            <x14:dxf>
              <font>
                <b/>
                <i val="0"/>
                <color rgb="FFFF0000"/>
              </font>
            </x14:dxf>
          </x14:cfRule>
          <xm:sqref>J169</xm:sqref>
        </x14:conditionalFormatting>
        <x14:conditionalFormatting xmlns:xm="http://schemas.microsoft.com/office/excel/2006/main">
          <x14:cfRule type="expression" priority="3293" id="{D89AB1BE-3DA8-4A0F-B548-9CC3E7193FC7}">
            <xm:f>IF('Central de Promoções'!J209&lt;TODAY(),"","")</xm:f>
            <x14:dxf>
              <font>
                <b/>
                <i val="0"/>
                <color rgb="FFFF0000"/>
              </font>
            </x14:dxf>
          </x14:cfRule>
          <xm:sqref>J170</xm:sqref>
        </x14:conditionalFormatting>
        <x14:conditionalFormatting xmlns:xm="http://schemas.microsoft.com/office/excel/2006/main">
          <x14:cfRule type="expression" priority="3331" id="{D89AB1BE-3DA8-4A0F-B548-9CC3E7193FC7}">
            <xm:f>IF('Central de Promoções'!J219&lt;TODAY(),"","")</xm:f>
            <x14:dxf>
              <font>
                <b/>
                <i val="0"/>
                <color rgb="FFFF0000"/>
              </font>
            </x14:dxf>
          </x14:cfRule>
          <xm:sqref>J171</xm:sqref>
        </x14:conditionalFormatting>
        <x14:conditionalFormatting xmlns:xm="http://schemas.microsoft.com/office/excel/2006/main">
          <x14:cfRule type="expression" priority="3370" id="{D89AB1BE-3DA8-4A0F-B548-9CC3E7193FC7}">
            <xm:f>IF('Central de Promoções'!J221&lt;TODAY(),"","")</xm:f>
            <x14:dxf>
              <font>
                <b/>
                <i val="0"/>
                <color rgb="FFFF0000"/>
              </font>
            </x14:dxf>
          </x14:cfRule>
          <xm:sqref>J172</xm:sqref>
        </x14:conditionalFormatting>
        <x14:conditionalFormatting xmlns:xm="http://schemas.microsoft.com/office/excel/2006/main">
          <x14:cfRule type="expression" priority="3451" id="{D89AB1BE-3DA8-4A0F-B548-9CC3E7193FC7}">
            <xm:f>IF('Central de Promoções'!J228&lt;TODAY(),"","")</xm:f>
            <x14:dxf>
              <font>
                <b/>
                <i val="0"/>
                <color rgb="FFFF0000"/>
              </font>
            </x14:dxf>
          </x14:cfRule>
          <xm:sqref>J175</xm:sqref>
        </x14:conditionalFormatting>
        <x14:conditionalFormatting xmlns:xm="http://schemas.microsoft.com/office/excel/2006/main">
          <x14:cfRule type="expression" priority="3493" id="{D89AB1BE-3DA8-4A0F-B548-9CC3E7193FC7}">
            <xm:f>IF('Central de Promoções'!J231&lt;TODAY(),"","")</xm:f>
            <x14:dxf>
              <font>
                <b/>
                <i val="0"/>
                <color rgb="FFFF0000"/>
              </font>
            </x14:dxf>
          </x14:cfRule>
          <xm:sqref>J176</xm:sqref>
        </x14:conditionalFormatting>
        <x14:conditionalFormatting xmlns:xm="http://schemas.microsoft.com/office/excel/2006/main">
          <x14:cfRule type="expression" priority="3536" id="{D89AB1BE-3DA8-4A0F-B548-9CC3E7193FC7}">
            <xm:f>IF('Central de Promoções'!J233&lt;TODAY(),"","")</xm:f>
            <x14:dxf>
              <font>
                <b/>
                <i val="0"/>
                <color rgb="FFFF0000"/>
              </font>
            </x14:dxf>
          </x14:cfRule>
          <xm:sqref>J177</xm:sqref>
        </x14:conditionalFormatting>
        <x14:conditionalFormatting xmlns:xm="http://schemas.microsoft.com/office/excel/2006/main">
          <x14:cfRule type="expression" priority="3580" id="{D89AB1BE-3DA8-4A0F-B548-9CC3E7193FC7}">
            <xm:f>IF('Central de Promoções'!J241&lt;TODAY(),"","")</xm:f>
            <x14:dxf>
              <font>
                <b/>
                <i val="0"/>
                <color rgb="FFFF0000"/>
              </font>
            </x14:dxf>
          </x14:cfRule>
          <xm:sqref>J178:J179</xm:sqref>
        </x14:conditionalFormatting>
        <x14:conditionalFormatting xmlns:xm="http://schemas.microsoft.com/office/excel/2006/main">
          <x14:cfRule type="expression" priority="3728" id="{274429AC-CF8D-461F-9CE0-64B08117A831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J66</xm:sqref>
        </x14:conditionalFormatting>
        <x14:conditionalFormatting xmlns:xm="http://schemas.microsoft.com/office/excel/2006/main">
          <x14:cfRule type="expression" priority="3800" id="{10FB8022-754C-4406-9336-9FFDBB0AA9F5}">
            <xm:f>IF('Central de Promoções'!J1&lt;TODAY(),"","")</xm:f>
            <x14:dxf>
              <font>
                <b/>
                <i val="0"/>
                <color rgb="FFFF0000"/>
              </font>
            </x14:dxf>
          </x14:cfRule>
          <xm:sqref>J67:J69</xm:sqref>
        </x14:conditionalFormatting>
        <x14:conditionalFormatting xmlns:xm="http://schemas.microsoft.com/office/excel/2006/main">
          <x14:cfRule type="expression" priority="3835" id="{97C95D06-DD54-4D29-8553-4B7E766EE329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J62</xm:sqref>
        </x14:conditionalFormatting>
        <x14:conditionalFormatting xmlns:xm="http://schemas.microsoft.com/office/excel/2006/main">
          <x14:cfRule type="expression" priority="526" id="{FC93749F-186B-4D9D-A2FB-8E9E5DAD5E3A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J61</xm:sqref>
        </x14:conditionalFormatting>
        <x14:conditionalFormatting xmlns:xm="http://schemas.microsoft.com/office/excel/2006/main">
          <x14:cfRule type="expression" priority="3973" id="{10FB8022-754C-4406-9336-9FFDBB0AA9F5}">
            <xm:f>IF('Central de Promoções'!J1&lt;TODAY(),"","")</xm:f>
            <x14:dxf>
              <font>
                <b/>
                <i val="0"/>
                <color rgb="FFFF0000"/>
              </font>
            </x14:dxf>
          </x14:cfRule>
          <xm:sqref>J63:J65</xm:sqref>
        </x14:conditionalFormatting>
        <x14:conditionalFormatting xmlns:xm="http://schemas.microsoft.com/office/excel/2006/main">
          <x14:cfRule type="expression" priority="510" id="{4630EB10-C72F-4658-896F-CBC70FC0D009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J60</xm:sqref>
        </x14:conditionalFormatting>
        <x14:conditionalFormatting xmlns:xm="http://schemas.microsoft.com/office/excel/2006/main">
          <x14:cfRule type="expression" priority="493" id="{CCF23179-106D-4E65-B8A0-5DFB488C602F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J59</xm:sqref>
        </x14:conditionalFormatting>
        <x14:conditionalFormatting xmlns:xm="http://schemas.microsoft.com/office/excel/2006/main">
          <x14:cfRule type="expression" priority="477" id="{81621228-B7A4-4D54-9CAD-4B216B1B5AD2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J58 J45:J47 J12:J36</xm:sqref>
        </x14:conditionalFormatting>
        <x14:conditionalFormatting xmlns:xm="http://schemas.microsoft.com/office/excel/2006/main">
          <x14:cfRule type="expression" priority="461" id="{8C177222-A003-4DA6-9C2F-C07339A134EB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J57</xm:sqref>
        </x14:conditionalFormatting>
        <x14:conditionalFormatting xmlns:xm="http://schemas.microsoft.com/office/excel/2006/main">
          <x14:cfRule type="expression" priority="413" id="{E8205744-4C11-4157-8186-4DCF77407CB4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J56</xm:sqref>
        </x14:conditionalFormatting>
        <x14:conditionalFormatting xmlns:xm="http://schemas.microsoft.com/office/excel/2006/main">
          <x14:cfRule type="expression" priority="397" id="{4B189FDC-3C78-4114-9EA0-F2F95CDDD32E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J55</xm:sqref>
        </x14:conditionalFormatting>
        <x14:conditionalFormatting xmlns:xm="http://schemas.microsoft.com/office/excel/2006/main">
          <x14:cfRule type="expression" priority="381" id="{7D9CC250-4360-4BF6-B920-E10DF3CB306B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J54</xm:sqref>
        </x14:conditionalFormatting>
        <x14:conditionalFormatting xmlns:xm="http://schemas.microsoft.com/office/excel/2006/main">
          <x14:cfRule type="expression" priority="365" id="{535C5037-31AF-4F63-B97A-057B5BB16A55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J52:J53</xm:sqref>
        </x14:conditionalFormatting>
        <x14:conditionalFormatting xmlns:xm="http://schemas.microsoft.com/office/excel/2006/main">
          <x14:cfRule type="expression" priority="349" id="{554CDB01-3AF4-4CCB-A993-00E949514872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J51</xm:sqref>
        </x14:conditionalFormatting>
        <x14:conditionalFormatting xmlns:xm="http://schemas.microsoft.com/office/excel/2006/main">
          <x14:cfRule type="expression" priority="331" id="{63F393B1-738A-4011-8766-2C68BABD1ECD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J50</xm:sqref>
        </x14:conditionalFormatting>
        <x14:conditionalFormatting xmlns:xm="http://schemas.microsoft.com/office/excel/2006/main">
          <x14:cfRule type="expression" priority="315" id="{5355CE4D-9539-4641-B79C-6E33DEA22B5A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J49</xm:sqref>
        </x14:conditionalFormatting>
        <x14:conditionalFormatting xmlns:xm="http://schemas.microsoft.com/office/excel/2006/main">
          <x14:cfRule type="expression" priority="299" id="{0DC710F7-70E8-463F-8C3E-FDB4E62066BE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J48</xm:sqref>
        </x14:conditionalFormatting>
        <x14:conditionalFormatting xmlns:xm="http://schemas.microsoft.com/office/excel/2006/main">
          <x14:cfRule type="expression" priority="255" id="{19FFEB6F-2D92-4BD5-8F39-E5A4E4F6C957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J44</xm:sqref>
        </x14:conditionalFormatting>
        <x14:conditionalFormatting xmlns:xm="http://schemas.microsoft.com/office/excel/2006/main">
          <x14:cfRule type="expression" priority="243" id="{2BAF9AE3-4B30-4F0F-9A9B-E5F416994304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J43</xm:sqref>
        </x14:conditionalFormatting>
        <x14:conditionalFormatting xmlns:xm="http://schemas.microsoft.com/office/excel/2006/main">
          <x14:cfRule type="expression" priority="231" id="{407C7345-5498-4F76-9D30-8D19E6F69475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J42</xm:sqref>
        </x14:conditionalFormatting>
        <x14:conditionalFormatting xmlns:xm="http://schemas.microsoft.com/office/excel/2006/main">
          <x14:cfRule type="expression" priority="219" id="{55E0D7AC-C932-4B9E-8E8B-0550D6049651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J41</xm:sqref>
        </x14:conditionalFormatting>
        <x14:conditionalFormatting xmlns:xm="http://schemas.microsoft.com/office/excel/2006/main">
          <x14:cfRule type="expression" priority="4050" id="{D89AB1BE-3DA8-4A0F-B548-9CC3E7193FC7}">
            <xm:f>IF('Central de Promoções'!J224&lt;TODAY(),"","")</xm:f>
            <x14:dxf>
              <font>
                <b/>
                <i val="0"/>
                <color rgb="FFFF0000"/>
              </font>
            </x14:dxf>
          </x14:cfRule>
          <xm:sqref>J173:J174</xm:sqref>
        </x14:conditionalFormatting>
        <x14:conditionalFormatting xmlns:xm="http://schemas.microsoft.com/office/excel/2006/main">
          <x14:cfRule type="expression" priority="4113" id="{10FB8022-754C-4406-9336-9FFDBB0AA9F5}">
            <xm:f>IF('Central de Promoções'!J165&lt;TODAY(),"","")</xm:f>
            <x14:dxf>
              <font>
                <b/>
                <i val="0"/>
                <color rgb="FFFF0000"/>
              </font>
            </x14:dxf>
          </x14:cfRule>
          <xm:sqref>J217:J1048576</xm:sqref>
        </x14:conditionalFormatting>
        <x14:conditionalFormatting xmlns:xm="http://schemas.microsoft.com/office/excel/2006/main">
          <x14:cfRule type="expression" priority="4114" id="{10FB8022-754C-4406-9336-9FFDBB0AA9F5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J216</xm:sqref>
        </x14:conditionalFormatting>
        <x14:conditionalFormatting xmlns:xm="http://schemas.microsoft.com/office/excel/2006/main">
          <x14:cfRule type="expression" priority="4125" id="{D89AB1BE-3DA8-4A0F-B548-9CC3E7193FC7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J159</xm:sqref>
        </x14:conditionalFormatting>
        <x14:conditionalFormatting xmlns:xm="http://schemas.microsoft.com/office/excel/2006/main">
          <x14:cfRule type="expression" priority="4168" id="{D89AB1BE-3DA8-4A0F-B548-9CC3E7193FC7}">
            <xm:f>IF('Central de Promoções'!J168&lt;TODAY(),"","")</xm:f>
            <x14:dxf>
              <font>
                <b/>
                <i val="0"/>
                <color rgb="FFFF0000"/>
              </font>
            </x14:dxf>
          </x14:cfRule>
          <xm:sqref>J156:J157</xm:sqref>
        </x14:conditionalFormatting>
        <x14:conditionalFormatting xmlns:xm="http://schemas.microsoft.com/office/excel/2006/main">
          <x14:cfRule type="expression" priority="4223" id="{10FB8022-754C-4406-9336-9FFDBB0AA9F5}">
            <xm:f>IF('Central de Promoções'!J156&lt;TODAY(),"","")</xm:f>
            <x14:dxf>
              <font>
                <b/>
                <i val="0"/>
                <color rgb="FFFF0000"/>
              </font>
            </x14:dxf>
          </x14:cfRule>
          <xm:sqref>J199:J215</xm:sqref>
        </x14:conditionalFormatting>
        <x14:conditionalFormatting xmlns:xm="http://schemas.microsoft.com/office/excel/2006/main">
          <x14:cfRule type="expression" priority="4224" id="{10FB8022-754C-4406-9336-9FFDBB0AA9F5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J198</xm:sqref>
        </x14:conditionalFormatting>
        <x14:conditionalFormatting xmlns:xm="http://schemas.microsoft.com/office/excel/2006/main">
          <x14:cfRule type="expression" priority="207" id="{056683F6-64C5-40B9-AA24-744C8614B7CD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J40</xm:sqref>
        </x14:conditionalFormatting>
        <x14:conditionalFormatting xmlns:xm="http://schemas.microsoft.com/office/excel/2006/main">
          <x14:cfRule type="expression" priority="183" id="{9BCF3C84-FA1E-460D-8BBE-1BE288AC5740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J39</xm:sqref>
        </x14:conditionalFormatting>
        <x14:conditionalFormatting xmlns:xm="http://schemas.microsoft.com/office/excel/2006/main">
          <x14:cfRule type="expression" priority="170" id="{CFAE69ED-79C0-4D37-9AB2-EF8FC4179A4E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J38</xm:sqref>
        </x14:conditionalFormatting>
        <x14:conditionalFormatting xmlns:xm="http://schemas.microsoft.com/office/excel/2006/main">
          <x14:cfRule type="expression" priority="157" id="{B49FB3A5-78E3-4149-BE3B-417FC4D2BC4C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J11</xm:sqref>
        </x14:conditionalFormatting>
        <x14:conditionalFormatting xmlns:xm="http://schemas.microsoft.com/office/excel/2006/main">
          <x14:cfRule type="expression" priority="146" id="{A82CD6A9-0569-478A-B895-5D5AC660A097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J37</xm:sqref>
        </x14:conditionalFormatting>
        <x14:conditionalFormatting xmlns:xm="http://schemas.microsoft.com/office/excel/2006/main">
          <x14:cfRule type="expression" priority="123" id="{E7E12EEB-512F-4ACC-ADE9-9285EB2BCDFD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J10</xm:sqref>
        </x14:conditionalFormatting>
        <x14:conditionalFormatting xmlns:xm="http://schemas.microsoft.com/office/excel/2006/main">
          <x14:cfRule type="expression" priority="110" id="{6B00D944-9643-4973-A9E4-F067B1F0A951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J9</xm:sqref>
        </x14:conditionalFormatting>
        <x14:conditionalFormatting xmlns:xm="http://schemas.microsoft.com/office/excel/2006/main">
          <x14:cfRule type="expression" priority="97" id="{C59781A8-7AD8-4A82-9C1D-80292A5FEC4F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J8</xm:sqref>
        </x14:conditionalFormatting>
        <x14:conditionalFormatting xmlns:xm="http://schemas.microsoft.com/office/excel/2006/main">
          <x14:cfRule type="expression" priority="84" id="{149168F6-0722-4A10-A534-35D410E18780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J7</xm:sqref>
        </x14:conditionalFormatting>
        <x14:conditionalFormatting xmlns:xm="http://schemas.microsoft.com/office/excel/2006/main">
          <x14:cfRule type="expression" priority="71" id="{440D8DB0-4132-4E87-ACA2-411C6DA36372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J6</xm:sqref>
        </x14:conditionalFormatting>
        <x14:conditionalFormatting xmlns:xm="http://schemas.microsoft.com/office/excel/2006/main">
          <x14:cfRule type="expression" priority="16" id="{C42CAE33-1FD8-42CC-B744-59C72AF8BF6D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J5</xm:sqref>
        </x14:conditionalFormatting>
        <x14:conditionalFormatting xmlns:xm="http://schemas.microsoft.com/office/excel/2006/main">
          <x14:cfRule type="expression" priority="2" id="{545B0E83-FBD4-451F-9353-0372C44ECB86}">
            <xm:f>IF('Central de Promoções'!#REF!&lt;TODAY(),"","")</xm:f>
            <x14:dxf>
              <font>
                <b/>
                <i val="0"/>
                <color rgb="FFFF0000"/>
              </font>
            </x14:dxf>
          </x14:cfRule>
          <xm:sqref>J4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12BE1-EE01-4752-9307-55B73297A062}">
  <sheetPr codeName="Planilha4">
    <tabColor theme="4" tint="-0.249977111117893"/>
  </sheetPr>
  <dimension ref="A1:Z300"/>
  <sheetViews>
    <sheetView workbookViewId="0">
      <pane xSplit="4" ySplit="1" topLeftCell="N5" activePane="bottomRight" state="frozen"/>
      <selection pane="topRight" activeCell="E1" sqref="E1"/>
      <selection pane="bottomLeft" activeCell="A2" sqref="A2"/>
      <selection pane="bottomRight" activeCell="U3" sqref="U3"/>
    </sheetView>
  </sheetViews>
  <sheetFormatPr defaultColWidth="13.7109375" defaultRowHeight="23.25" customHeight="1" x14ac:dyDescent="0.25"/>
  <cols>
    <col min="1" max="1" width="18.5703125" style="91" customWidth="1"/>
    <col min="2" max="2" width="17.42578125" style="92" customWidth="1"/>
    <col min="3" max="3" width="12.140625" style="97" customWidth="1"/>
    <col min="4" max="4" width="57.85546875" customWidth="1"/>
    <col min="5" max="5" width="20.7109375" customWidth="1"/>
    <col min="6" max="6" width="5.85546875" style="97" customWidth="1"/>
    <col min="7" max="7" width="14.42578125" style="93" customWidth="1"/>
    <col min="8" max="8" width="12.140625" style="90" customWidth="1"/>
    <col min="9" max="9" width="27.85546875" style="348" customWidth="1"/>
    <col min="10" max="10" width="34.5703125" style="231" customWidth="1"/>
    <col min="11" max="11" width="18.42578125" style="113" bestFit="1" customWidth="1"/>
    <col min="12" max="12" width="12.28515625" style="149" customWidth="1"/>
    <col min="13" max="13" width="40.28515625" style="133" bestFit="1" customWidth="1"/>
    <col min="14" max="14" width="23.5703125" style="113" bestFit="1" customWidth="1"/>
    <col min="15" max="15" width="26.7109375" style="113" customWidth="1"/>
    <col min="16" max="16" width="6.42578125" style="113" customWidth="1"/>
    <col min="17" max="17" width="18.28515625" style="113" customWidth="1"/>
    <col min="18" max="18" width="25.7109375" style="133" customWidth="1"/>
    <col min="19" max="19" width="20.5703125" style="173" customWidth="1"/>
    <col min="20" max="20" width="13.5703125" style="415" customWidth="1"/>
    <col min="21" max="21" width="16" style="446" customWidth="1"/>
    <col min="22" max="22" width="24.7109375" style="77" bestFit="1" customWidth="1"/>
    <col min="23" max="23" width="23.85546875" style="77" bestFit="1" customWidth="1"/>
    <col min="24" max="24" width="29.85546875" style="77" bestFit="1" customWidth="1"/>
    <col min="25" max="139" width="13.7109375" style="77" customWidth="1"/>
    <col min="140" max="16384" width="13.7109375" style="77"/>
  </cols>
  <sheetData>
    <row r="1" spans="1:26" ht="29.25" customHeight="1" x14ac:dyDescent="0.25">
      <c r="A1" s="205"/>
      <c r="B1" s="206"/>
      <c r="C1" s="207"/>
      <c r="D1" s="576" t="s">
        <v>295</v>
      </c>
      <c r="E1" s="576"/>
      <c r="F1" s="576"/>
      <c r="G1" s="576"/>
      <c r="H1" s="208"/>
      <c r="I1" s="208"/>
      <c r="J1" s="236" t="s">
        <v>49</v>
      </c>
      <c r="K1" s="209"/>
      <c r="L1" s="232"/>
      <c r="M1" s="209"/>
      <c r="N1" s="209"/>
      <c r="O1" s="209"/>
      <c r="P1" s="209"/>
      <c r="Q1" s="209"/>
      <c r="R1" s="209"/>
      <c r="S1" s="209"/>
      <c r="T1" s="209"/>
      <c r="U1" s="74"/>
      <c r="V1" s="76"/>
      <c r="W1" s="76"/>
      <c r="X1" s="76"/>
      <c r="Y1" s="76"/>
      <c r="Z1" s="76"/>
    </row>
    <row r="2" spans="1:26" s="26" customFormat="1" ht="23.25" customHeight="1" x14ac:dyDescent="0.25">
      <c r="A2" s="26" t="s">
        <v>296</v>
      </c>
      <c r="B2" s="26" t="s">
        <v>54</v>
      </c>
      <c r="C2" s="26" t="s">
        <v>374</v>
      </c>
      <c r="D2" s="26" t="s">
        <v>479</v>
      </c>
      <c r="E2" s="26" t="s">
        <v>0</v>
      </c>
      <c r="F2" s="26" t="s">
        <v>310</v>
      </c>
      <c r="G2" s="26" t="s">
        <v>311</v>
      </c>
      <c r="H2" s="134" t="s">
        <v>480</v>
      </c>
      <c r="I2" s="26" t="s">
        <v>299</v>
      </c>
      <c r="J2" s="134" t="s">
        <v>468</v>
      </c>
      <c r="K2" s="134" t="s">
        <v>469</v>
      </c>
      <c r="L2" s="233" t="s">
        <v>507</v>
      </c>
      <c r="M2" s="134" t="s">
        <v>1230</v>
      </c>
      <c r="N2" s="134" t="s">
        <v>1199</v>
      </c>
      <c r="O2" s="134" t="s">
        <v>500</v>
      </c>
      <c r="P2" s="134" t="s">
        <v>467</v>
      </c>
      <c r="Q2" s="134" t="s">
        <v>569</v>
      </c>
      <c r="R2" s="134" t="s">
        <v>564</v>
      </c>
      <c r="S2" s="134" t="s">
        <v>565</v>
      </c>
      <c r="T2" s="134" t="s">
        <v>645</v>
      </c>
      <c r="U2" s="36" t="s">
        <v>1335</v>
      </c>
    </row>
    <row r="3" spans="1:26" s="378" customFormat="1" ht="27.75" customHeight="1" x14ac:dyDescent="0.25">
      <c r="A3" s="478" t="s">
        <v>2037</v>
      </c>
      <c r="B3" s="31" t="s">
        <v>297</v>
      </c>
      <c r="C3" s="23">
        <v>46096</v>
      </c>
      <c r="D3" s="119" t="s">
        <v>477</v>
      </c>
      <c r="E3" s="119" t="s">
        <v>16</v>
      </c>
      <c r="F3" s="119">
        <v>1</v>
      </c>
      <c r="G3" s="120">
        <v>630</v>
      </c>
      <c r="H3" s="120">
        <v>498.25</v>
      </c>
      <c r="I3" s="135" t="s">
        <v>2021</v>
      </c>
      <c r="J3" s="487" t="s">
        <v>2038</v>
      </c>
      <c r="K3" s="128" t="s">
        <v>2039</v>
      </c>
      <c r="L3" s="276" t="s">
        <v>2040</v>
      </c>
      <c r="M3" s="281" t="s">
        <v>2041</v>
      </c>
      <c r="N3" s="276" t="s">
        <v>2042</v>
      </c>
      <c r="O3" s="276" t="s">
        <v>494</v>
      </c>
      <c r="P3" s="143" t="s">
        <v>471</v>
      </c>
      <c r="Q3" s="143" t="s">
        <v>1592</v>
      </c>
      <c r="R3" s="278" t="s">
        <v>1593</v>
      </c>
      <c r="S3" s="239">
        <v>46099</v>
      </c>
      <c r="T3" s="428" t="s">
        <v>2043</v>
      </c>
      <c r="U3" s="398" t="str">
        <f ca="1">IF(S3="", "", IF(TODAY() &lt;= DATE(YEAR(S3), MONTH(S3)+3, DAY(S3)), "Em garantia", "Fora da garantia"))</f>
        <v>Em garantia</v>
      </c>
      <c r="V3" s="398"/>
      <c r="W3" s="398"/>
      <c r="X3" s="398"/>
      <c r="Y3" s="398"/>
      <c r="Z3" s="398"/>
    </row>
    <row r="4" spans="1:26" s="378" customFormat="1" ht="27.75" customHeight="1" x14ac:dyDescent="0.25">
      <c r="A4" s="478" t="s">
        <v>2028</v>
      </c>
      <c r="B4" s="31" t="s">
        <v>297</v>
      </c>
      <c r="C4" s="23">
        <v>46092</v>
      </c>
      <c r="D4" s="119" t="s">
        <v>2029</v>
      </c>
      <c r="E4" s="119" t="s">
        <v>1863</v>
      </c>
      <c r="F4" s="119">
        <v>1</v>
      </c>
      <c r="G4" s="120">
        <v>122.75</v>
      </c>
      <c r="H4" s="120">
        <v>86.97</v>
      </c>
      <c r="I4" s="135" t="s">
        <v>2030</v>
      </c>
      <c r="J4" s="487" t="s">
        <v>2031</v>
      </c>
      <c r="K4" s="128" t="s">
        <v>2032</v>
      </c>
      <c r="L4" s="276" t="s">
        <v>2033</v>
      </c>
      <c r="M4" s="281" t="s">
        <v>2034</v>
      </c>
      <c r="N4" s="276" t="s">
        <v>2035</v>
      </c>
      <c r="O4" s="276" t="s">
        <v>2035</v>
      </c>
      <c r="P4" s="143" t="s">
        <v>2036</v>
      </c>
      <c r="Q4" s="143" t="s">
        <v>1592</v>
      </c>
      <c r="R4" s="278" t="s">
        <v>1593</v>
      </c>
      <c r="S4" s="239"/>
      <c r="T4" s="428"/>
      <c r="U4" s="398" t="str">
        <f t="shared" ref="U4:U9" ca="1" si="0">IF(S4="", "", IF(TODAY() &lt;= DATE(YEAR(S4), MONTH(S4)+3, DAY(S4)), "Em garantia", "Fora da garantia"))</f>
        <v/>
      </c>
      <c r="V4" s="398"/>
      <c r="W4" s="398"/>
      <c r="X4" s="398"/>
      <c r="Y4" s="398"/>
      <c r="Z4" s="398"/>
    </row>
    <row r="5" spans="1:26" s="378" customFormat="1" ht="27.75" customHeight="1" x14ac:dyDescent="0.25">
      <c r="A5" s="478" t="s">
        <v>2020</v>
      </c>
      <c r="B5" s="31" t="s">
        <v>297</v>
      </c>
      <c r="C5" s="23">
        <v>46089</v>
      </c>
      <c r="D5" s="119" t="s">
        <v>477</v>
      </c>
      <c r="E5" s="119" t="s">
        <v>16</v>
      </c>
      <c r="F5" s="119">
        <v>1</v>
      </c>
      <c r="G5" s="120">
        <v>630</v>
      </c>
      <c r="H5" s="120">
        <v>498.25</v>
      </c>
      <c r="I5" s="135" t="s">
        <v>2021</v>
      </c>
      <c r="J5" s="487" t="s">
        <v>2022</v>
      </c>
      <c r="K5" s="128" t="s">
        <v>2023</v>
      </c>
      <c r="L5" s="276" t="s">
        <v>2024</v>
      </c>
      <c r="M5" s="281" t="s">
        <v>2025</v>
      </c>
      <c r="N5" s="276" t="s">
        <v>2026</v>
      </c>
      <c r="O5" s="276" t="s">
        <v>1341</v>
      </c>
      <c r="P5" s="143" t="s">
        <v>471</v>
      </c>
      <c r="Q5" s="143" t="s">
        <v>1592</v>
      </c>
      <c r="R5" s="278" t="s">
        <v>1593</v>
      </c>
      <c r="S5" s="239"/>
      <c r="T5" s="428" t="s">
        <v>2027</v>
      </c>
      <c r="U5" s="398" t="str">
        <f t="shared" ca="1" si="0"/>
        <v/>
      </c>
      <c r="V5" s="398"/>
      <c r="W5" s="398"/>
      <c r="X5" s="398"/>
      <c r="Y5" s="398"/>
      <c r="Z5" s="398"/>
    </row>
    <row r="6" spans="1:26" s="378" customFormat="1" ht="27.75" customHeight="1" x14ac:dyDescent="0.25">
      <c r="A6" s="478" t="s">
        <v>2011</v>
      </c>
      <c r="B6" s="31" t="s">
        <v>298</v>
      </c>
      <c r="C6" s="23">
        <v>46084</v>
      </c>
      <c r="D6" s="119" t="s">
        <v>2012</v>
      </c>
      <c r="E6" s="119" t="s">
        <v>140</v>
      </c>
      <c r="F6" s="119">
        <v>2</v>
      </c>
      <c r="G6" s="120">
        <v>196</v>
      </c>
      <c r="H6" s="120">
        <v>-146.74</v>
      </c>
      <c r="I6" s="135" t="s">
        <v>2013</v>
      </c>
      <c r="J6" s="487" t="s">
        <v>2014</v>
      </c>
      <c r="K6" s="128" t="s">
        <v>2015</v>
      </c>
      <c r="L6" s="276" t="s">
        <v>2016</v>
      </c>
      <c r="M6" s="281" t="s">
        <v>2017</v>
      </c>
      <c r="N6" s="276" t="s">
        <v>2018</v>
      </c>
      <c r="O6" s="276" t="s">
        <v>2019</v>
      </c>
      <c r="P6" s="143" t="s">
        <v>471</v>
      </c>
      <c r="Q6" s="143"/>
      <c r="R6" s="278"/>
      <c r="S6" s="239"/>
      <c r="T6" s="427"/>
      <c r="U6" s="398" t="str">
        <f t="shared" ca="1" si="0"/>
        <v/>
      </c>
      <c r="V6" s="398"/>
      <c r="W6" s="398"/>
      <c r="X6" s="398"/>
      <c r="Y6" s="398"/>
      <c r="Z6" s="398"/>
    </row>
    <row r="7" spans="1:26" s="378" customFormat="1" ht="27.75" customHeight="1" x14ac:dyDescent="0.25">
      <c r="A7" s="478" t="s">
        <v>2003</v>
      </c>
      <c r="B7" s="31" t="s">
        <v>297</v>
      </c>
      <c r="C7" s="23">
        <v>46083</v>
      </c>
      <c r="D7" s="119" t="s">
        <v>1975</v>
      </c>
      <c r="E7" s="119" t="s">
        <v>1551</v>
      </c>
      <c r="F7" s="119">
        <v>1</v>
      </c>
      <c r="G7" s="120">
        <v>128.91999999999999</v>
      </c>
      <c r="H7" s="120">
        <v>95.49</v>
      </c>
      <c r="I7" s="135" t="s">
        <v>1976</v>
      </c>
      <c r="J7" s="487" t="s">
        <v>2004</v>
      </c>
      <c r="K7" s="128" t="s">
        <v>2005</v>
      </c>
      <c r="L7" s="276" t="s">
        <v>2006</v>
      </c>
      <c r="M7" s="281" t="s">
        <v>2007</v>
      </c>
      <c r="N7" s="276" t="s">
        <v>2008</v>
      </c>
      <c r="O7" s="276" t="s">
        <v>2009</v>
      </c>
      <c r="P7" s="143" t="s">
        <v>1058</v>
      </c>
      <c r="Q7" s="143" t="s">
        <v>1592</v>
      </c>
      <c r="R7" s="278" t="s">
        <v>1593</v>
      </c>
      <c r="S7" s="239">
        <v>46087</v>
      </c>
      <c r="T7" s="428" t="s">
        <v>2010</v>
      </c>
      <c r="U7" s="398" t="str">
        <f t="shared" ca="1" si="0"/>
        <v>Em garantia</v>
      </c>
      <c r="V7" s="398"/>
      <c r="W7" s="398"/>
      <c r="X7" s="398"/>
      <c r="Y7" s="398"/>
      <c r="Z7" s="398"/>
    </row>
    <row r="8" spans="1:26" s="378" customFormat="1" ht="27.75" customHeight="1" x14ac:dyDescent="0.25">
      <c r="A8" s="478" t="s">
        <v>1984</v>
      </c>
      <c r="B8" s="31" t="s">
        <v>297</v>
      </c>
      <c r="C8" s="23">
        <v>46065</v>
      </c>
      <c r="D8" s="119" t="s">
        <v>1985</v>
      </c>
      <c r="E8" s="119" t="s">
        <v>136</v>
      </c>
      <c r="F8" s="119">
        <v>1</v>
      </c>
      <c r="G8" s="120">
        <v>112.33</v>
      </c>
      <c r="H8" s="120">
        <v>82.44</v>
      </c>
      <c r="I8" s="135" t="s">
        <v>1986</v>
      </c>
      <c r="J8" s="487" t="s">
        <v>1987</v>
      </c>
      <c r="K8" s="128" t="s">
        <v>1988</v>
      </c>
      <c r="L8" s="276" t="s">
        <v>1989</v>
      </c>
      <c r="M8" s="281" t="s">
        <v>1990</v>
      </c>
      <c r="N8" s="276" t="s">
        <v>498</v>
      </c>
      <c r="O8" s="276" t="s">
        <v>1991</v>
      </c>
      <c r="P8" s="143" t="s">
        <v>513</v>
      </c>
      <c r="Q8" s="143" t="s">
        <v>1592</v>
      </c>
      <c r="R8" s="278" t="s">
        <v>1593</v>
      </c>
      <c r="S8" s="239">
        <v>46067</v>
      </c>
      <c r="T8" s="428" t="s">
        <v>1992</v>
      </c>
      <c r="U8" s="398" t="str">
        <f t="shared" ca="1" si="0"/>
        <v>Fora da garantia</v>
      </c>
      <c r="V8" s="398"/>
      <c r="W8" s="398"/>
      <c r="X8" s="398"/>
      <c r="Y8" s="398"/>
      <c r="Z8" s="398"/>
    </row>
    <row r="9" spans="1:26" s="378" customFormat="1" ht="27.75" customHeight="1" x14ac:dyDescent="0.25">
      <c r="A9" s="478" t="s">
        <v>1974</v>
      </c>
      <c r="B9" s="31" t="s">
        <v>297</v>
      </c>
      <c r="C9" s="23">
        <v>46060</v>
      </c>
      <c r="D9" s="119" t="s">
        <v>1975</v>
      </c>
      <c r="E9" s="119" t="s">
        <v>1551</v>
      </c>
      <c r="F9" s="119">
        <v>1</v>
      </c>
      <c r="G9" s="120">
        <v>128.91999999999999</v>
      </c>
      <c r="H9" s="120">
        <v>95.49</v>
      </c>
      <c r="I9" s="135" t="s">
        <v>1976</v>
      </c>
      <c r="J9" s="487" t="s">
        <v>1977</v>
      </c>
      <c r="K9" s="128" t="s">
        <v>1978</v>
      </c>
      <c r="L9" s="276" t="s">
        <v>1979</v>
      </c>
      <c r="M9" s="281" t="s">
        <v>1980</v>
      </c>
      <c r="N9" s="276" t="s">
        <v>1981</v>
      </c>
      <c r="O9" s="276" t="s">
        <v>1982</v>
      </c>
      <c r="P9" s="143" t="s">
        <v>519</v>
      </c>
      <c r="Q9" s="143" t="s">
        <v>1592</v>
      </c>
      <c r="R9" s="278" t="s">
        <v>1593</v>
      </c>
      <c r="S9" s="239">
        <v>46066</v>
      </c>
      <c r="T9" s="428" t="s">
        <v>1983</v>
      </c>
      <c r="U9" s="398" t="str">
        <f t="shared" ca="1" si="0"/>
        <v>Fora da garantia</v>
      </c>
      <c r="V9" s="398"/>
      <c r="W9" s="398"/>
      <c r="X9" s="398"/>
      <c r="Y9" s="398"/>
      <c r="Z9" s="398"/>
    </row>
    <row r="10" spans="1:26" s="378" customFormat="1" ht="27.75" customHeight="1" x14ac:dyDescent="0.25">
      <c r="A10" s="478" t="s">
        <v>1965</v>
      </c>
      <c r="B10" s="31" t="s">
        <v>297</v>
      </c>
      <c r="C10" s="23">
        <v>46057</v>
      </c>
      <c r="D10" s="119" t="s">
        <v>1966</v>
      </c>
      <c r="E10" s="119" t="s">
        <v>1551</v>
      </c>
      <c r="F10" s="119">
        <v>1</v>
      </c>
      <c r="G10" s="120">
        <v>195.16</v>
      </c>
      <c r="H10" s="120">
        <v>151.54</v>
      </c>
      <c r="I10" s="135" t="s">
        <v>1967</v>
      </c>
      <c r="J10" s="487" t="s">
        <v>1968</v>
      </c>
      <c r="K10" s="128" t="s">
        <v>1969</v>
      </c>
      <c r="L10" s="276" t="s">
        <v>1970</v>
      </c>
      <c r="M10" s="281" t="s">
        <v>1972</v>
      </c>
      <c r="N10" s="276" t="s">
        <v>1971</v>
      </c>
      <c r="O10" s="276" t="s">
        <v>713</v>
      </c>
      <c r="P10" s="143" t="s">
        <v>490</v>
      </c>
      <c r="Q10" s="143" t="s">
        <v>1592</v>
      </c>
      <c r="R10" s="278" t="s">
        <v>1593</v>
      </c>
      <c r="S10" s="239">
        <v>46059</v>
      </c>
      <c r="T10" s="428" t="s">
        <v>1973</v>
      </c>
      <c r="U10" s="398" t="str">
        <f t="shared" ref="U10:U16" ca="1" si="1">IF(S10="", "", IF(TODAY() &lt;= DATE(YEAR(S10), MONTH(S10)+3, DAY(S10)), "Em garantia", "Fora da garantia"))</f>
        <v>Fora da garantia</v>
      </c>
      <c r="V10" s="398"/>
      <c r="W10" s="398"/>
      <c r="X10" s="398"/>
      <c r="Y10" s="398"/>
      <c r="Z10" s="398"/>
    </row>
    <row r="11" spans="1:26" s="378" customFormat="1" ht="27.75" customHeight="1" x14ac:dyDescent="0.25">
      <c r="A11" s="478" t="s">
        <v>1955</v>
      </c>
      <c r="B11" s="31" t="s">
        <v>297</v>
      </c>
      <c r="C11" s="23">
        <v>46054</v>
      </c>
      <c r="D11" s="119" t="s">
        <v>1956</v>
      </c>
      <c r="E11" s="119" t="s">
        <v>1520</v>
      </c>
      <c r="F11" s="119">
        <v>2</v>
      </c>
      <c r="G11" s="120">
        <v>300</v>
      </c>
      <c r="H11" s="120">
        <v>221.79</v>
      </c>
      <c r="I11" s="135" t="s">
        <v>1957</v>
      </c>
      <c r="J11" s="487" t="s">
        <v>1958</v>
      </c>
      <c r="K11" s="128" t="s">
        <v>1959</v>
      </c>
      <c r="L11" s="276" t="s">
        <v>1960</v>
      </c>
      <c r="M11" s="281" t="s">
        <v>1961</v>
      </c>
      <c r="N11" s="276" t="s">
        <v>1962</v>
      </c>
      <c r="O11" s="276" t="s">
        <v>1963</v>
      </c>
      <c r="P11" s="143" t="s">
        <v>854</v>
      </c>
      <c r="Q11" s="143" t="s">
        <v>1592</v>
      </c>
      <c r="R11" s="278" t="s">
        <v>1593</v>
      </c>
      <c r="S11" s="239">
        <v>46058</v>
      </c>
      <c r="T11" s="428" t="s">
        <v>1964</v>
      </c>
      <c r="U11" s="398" t="str">
        <f t="shared" ca="1" si="1"/>
        <v>Fora da garantia</v>
      </c>
      <c r="V11" s="398"/>
      <c r="W11" s="398"/>
      <c r="X11" s="398"/>
      <c r="Y11" s="398"/>
      <c r="Z11" s="398"/>
    </row>
    <row r="12" spans="1:26" s="378" customFormat="1" ht="27.75" customHeight="1" x14ac:dyDescent="0.25">
      <c r="A12" s="478" t="s">
        <v>1948</v>
      </c>
      <c r="B12" s="31" t="s">
        <v>355</v>
      </c>
      <c r="C12" s="23">
        <v>46052</v>
      </c>
      <c r="D12" s="119" t="s">
        <v>1966</v>
      </c>
      <c r="E12" s="119" t="s">
        <v>1551</v>
      </c>
      <c r="F12" s="119">
        <v>1</v>
      </c>
      <c r="G12" s="120">
        <v>195.16</v>
      </c>
      <c r="H12" s="120">
        <v>151.54</v>
      </c>
      <c r="I12" s="135" t="s">
        <v>1949</v>
      </c>
      <c r="J12" s="487" t="s">
        <v>1950</v>
      </c>
      <c r="K12" s="128" t="s">
        <v>1951</v>
      </c>
      <c r="L12" s="276" t="s">
        <v>1952</v>
      </c>
      <c r="M12" s="281" t="s">
        <v>1953</v>
      </c>
      <c r="N12" s="276" t="s">
        <v>498</v>
      </c>
      <c r="O12" s="276" t="s">
        <v>713</v>
      </c>
      <c r="P12" s="143" t="s">
        <v>490</v>
      </c>
      <c r="Q12" s="143" t="s">
        <v>1592</v>
      </c>
      <c r="R12" s="278" t="s">
        <v>1593</v>
      </c>
      <c r="S12" s="239">
        <v>46055</v>
      </c>
      <c r="T12" s="428" t="s">
        <v>1954</v>
      </c>
      <c r="U12" s="398" t="str">
        <f t="shared" ca="1" si="1"/>
        <v>Fora da garantia</v>
      </c>
      <c r="V12" s="398"/>
      <c r="W12" s="398"/>
      <c r="X12" s="398"/>
      <c r="Y12" s="398"/>
      <c r="Z12" s="398"/>
    </row>
    <row r="13" spans="1:26" s="378" customFormat="1" ht="27.75" customHeight="1" x14ac:dyDescent="0.25">
      <c r="A13" s="478" t="s">
        <v>1939</v>
      </c>
      <c r="B13" s="31" t="s">
        <v>297</v>
      </c>
      <c r="C13" s="23">
        <v>46050</v>
      </c>
      <c r="D13" s="119" t="s">
        <v>1940</v>
      </c>
      <c r="E13" s="119" t="s">
        <v>1421</v>
      </c>
      <c r="F13" s="119">
        <v>1</v>
      </c>
      <c r="G13" s="120">
        <v>726</v>
      </c>
      <c r="H13" s="120">
        <v>-105.45</v>
      </c>
      <c r="I13" s="135" t="s">
        <v>1941</v>
      </c>
      <c r="J13" s="487" t="s">
        <v>1942</v>
      </c>
      <c r="K13" s="128" t="s">
        <v>1943</v>
      </c>
      <c r="L13" s="276" t="s">
        <v>1944</v>
      </c>
      <c r="M13" s="281" t="s">
        <v>1945</v>
      </c>
      <c r="N13" s="276" t="s">
        <v>498</v>
      </c>
      <c r="O13" s="276" t="s">
        <v>1946</v>
      </c>
      <c r="P13" s="143" t="s">
        <v>557</v>
      </c>
      <c r="Q13" s="143" t="s">
        <v>1592</v>
      </c>
      <c r="R13" s="278" t="s">
        <v>1593</v>
      </c>
      <c r="S13" s="239">
        <v>46053</v>
      </c>
      <c r="T13" s="428" t="s">
        <v>1947</v>
      </c>
      <c r="U13" s="398" t="str">
        <f t="shared" ca="1" si="1"/>
        <v>Fora da garantia</v>
      </c>
      <c r="V13" s="398"/>
      <c r="W13" s="398"/>
      <c r="X13" s="398"/>
      <c r="Y13" s="398"/>
      <c r="Z13" s="398"/>
    </row>
    <row r="14" spans="1:26" s="378" customFormat="1" ht="27.75" customHeight="1" x14ac:dyDescent="0.25">
      <c r="A14" s="478" t="s">
        <v>1930</v>
      </c>
      <c r="B14" s="31" t="s">
        <v>355</v>
      </c>
      <c r="C14" s="23">
        <v>46041</v>
      </c>
      <c r="D14" s="119" t="s">
        <v>1673</v>
      </c>
      <c r="E14" s="119" t="s">
        <v>1330</v>
      </c>
      <c r="F14" s="119">
        <v>1</v>
      </c>
      <c r="G14" s="120">
        <v>449.99</v>
      </c>
      <c r="H14" s="120">
        <v>-346.54</v>
      </c>
      <c r="I14" s="135" t="s">
        <v>1931</v>
      </c>
      <c r="J14" s="487" t="s">
        <v>1932</v>
      </c>
      <c r="K14" s="128" t="s">
        <v>1933</v>
      </c>
      <c r="L14" s="276" t="s">
        <v>1934</v>
      </c>
      <c r="M14" s="281" t="s">
        <v>1935</v>
      </c>
      <c r="N14" s="276" t="s">
        <v>1936</v>
      </c>
      <c r="O14" s="276" t="s">
        <v>1937</v>
      </c>
      <c r="P14" s="143" t="s">
        <v>513</v>
      </c>
      <c r="Q14" s="143" t="s">
        <v>1592</v>
      </c>
      <c r="R14" s="278" t="s">
        <v>1593</v>
      </c>
      <c r="S14" s="239">
        <v>46050</v>
      </c>
      <c r="T14" s="428" t="s">
        <v>1938</v>
      </c>
      <c r="U14" s="398" t="str">
        <f t="shared" ca="1" si="1"/>
        <v>Fora da garantia</v>
      </c>
      <c r="V14" s="398"/>
      <c r="W14" s="398"/>
      <c r="X14" s="398"/>
      <c r="Y14" s="398"/>
      <c r="Z14" s="398"/>
    </row>
    <row r="15" spans="1:26" s="378" customFormat="1" ht="27.75" customHeight="1" x14ac:dyDescent="0.25">
      <c r="A15" s="478" t="s">
        <v>1921</v>
      </c>
      <c r="B15" s="31" t="s">
        <v>297</v>
      </c>
      <c r="C15" s="23">
        <v>46036</v>
      </c>
      <c r="D15" s="119" t="s">
        <v>1508</v>
      </c>
      <c r="E15" s="119" t="s">
        <v>103</v>
      </c>
      <c r="F15" s="119">
        <v>1</v>
      </c>
      <c r="G15" s="120">
        <v>79.98</v>
      </c>
      <c r="H15" s="120">
        <v>57.38</v>
      </c>
      <c r="I15" s="135" t="s">
        <v>1922</v>
      </c>
      <c r="J15" s="487" t="s">
        <v>1923</v>
      </c>
      <c r="K15" s="128" t="s">
        <v>1924</v>
      </c>
      <c r="L15" s="276" t="s">
        <v>1925</v>
      </c>
      <c r="M15" s="281" t="s">
        <v>1926</v>
      </c>
      <c r="N15" s="276" t="s">
        <v>1927</v>
      </c>
      <c r="O15" s="276" t="s">
        <v>1928</v>
      </c>
      <c r="P15" s="143" t="s">
        <v>513</v>
      </c>
      <c r="Q15" s="143" t="s">
        <v>1592</v>
      </c>
      <c r="R15" s="278" t="s">
        <v>1593</v>
      </c>
      <c r="S15" s="239">
        <v>46038</v>
      </c>
      <c r="T15" s="428" t="s">
        <v>1929</v>
      </c>
      <c r="U15" s="398" t="str">
        <f t="shared" ca="1" si="1"/>
        <v>Fora da garantia</v>
      </c>
      <c r="V15" s="398"/>
      <c r="W15" s="398"/>
      <c r="X15" s="398"/>
      <c r="Y15" s="398"/>
      <c r="Z15" s="398"/>
    </row>
    <row r="16" spans="1:26" s="378" customFormat="1" ht="27.75" customHeight="1" x14ac:dyDescent="0.25">
      <c r="A16" s="478" t="s">
        <v>1909</v>
      </c>
      <c r="B16" s="31" t="s">
        <v>297</v>
      </c>
      <c r="C16" s="23">
        <v>46025</v>
      </c>
      <c r="D16" s="119" t="s">
        <v>1910</v>
      </c>
      <c r="E16" s="119" t="s">
        <v>1545</v>
      </c>
      <c r="F16" s="119">
        <v>1</v>
      </c>
      <c r="G16" s="120">
        <v>2469.59</v>
      </c>
      <c r="H16" s="120">
        <v>1950.81</v>
      </c>
      <c r="I16" s="135" t="s">
        <v>1912</v>
      </c>
      <c r="J16" s="487" t="s">
        <v>1913</v>
      </c>
      <c r="K16" s="128" t="s">
        <v>1914</v>
      </c>
      <c r="L16" s="276" t="s">
        <v>1915</v>
      </c>
      <c r="M16" s="281" t="s">
        <v>1916</v>
      </c>
      <c r="N16" s="276" t="s">
        <v>1917</v>
      </c>
      <c r="O16" s="276" t="s">
        <v>1918</v>
      </c>
      <c r="P16" s="143" t="s">
        <v>621</v>
      </c>
      <c r="Q16" s="143" t="s">
        <v>1592</v>
      </c>
      <c r="R16" s="278" t="s">
        <v>1593</v>
      </c>
      <c r="S16" s="239">
        <v>46041</v>
      </c>
      <c r="T16" s="428" t="s">
        <v>1919</v>
      </c>
      <c r="U16" s="398" t="str">
        <f t="shared" ca="1" si="1"/>
        <v>Fora da garantia</v>
      </c>
      <c r="V16" s="398"/>
      <c r="W16" s="398"/>
      <c r="X16" s="398"/>
      <c r="Y16" s="398"/>
      <c r="Z16" s="398"/>
    </row>
    <row r="17" spans="1:26" s="378" customFormat="1" ht="27.75" customHeight="1" x14ac:dyDescent="0.25">
      <c r="A17" s="478" t="s">
        <v>1900</v>
      </c>
      <c r="B17" s="31" t="s">
        <v>297</v>
      </c>
      <c r="C17" s="23">
        <v>46017</v>
      </c>
      <c r="D17" s="119" t="s">
        <v>1828</v>
      </c>
      <c r="E17" s="119" t="s">
        <v>40</v>
      </c>
      <c r="F17" s="119">
        <v>2</v>
      </c>
      <c r="G17" s="120">
        <v>49.5</v>
      </c>
      <c r="H17" s="120">
        <v>31.06</v>
      </c>
      <c r="I17" s="135" t="s">
        <v>1901</v>
      </c>
      <c r="J17" s="487" t="s">
        <v>1902</v>
      </c>
      <c r="K17" s="128" t="s">
        <v>1903</v>
      </c>
      <c r="L17" s="276" t="s">
        <v>1904</v>
      </c>
      <c r="M17" s="281" t="s">
        <v>1905</v>
      </c>
      <c r="N17" s="276" t="s">
        <v>1906</v>
      </c>
      <c r="O17" s="276" t="s">
        <v>1907</v>
      </c>
      <c r="P17" s="143" t="s">
        <v>471</v>
      </c>
      <c r="Q17" s="143" t="s">
        <v>1592</v>
      </c>
      <c r="R17" s="278" t="s">
        <v>1593</v>
      </c>
      <c r="S17" s="239">
        <v>46022</v>
      </c>
      <c r="T17" s="428" t="s">
        <v>1908</v>
      </c>
      <c r="U17" s="398" t="str">
        <f t="shared" ref="U17:U23" ca="1" si="2">IF(S17="", "", IF(TODAY() &lt;= DATE(YEAR(S17), MONTH(S17)+3, DAY(S17)), "Em garantia", "Fora da garantia"))</f>
        <v>Fora da garantia</v>
      </c>
      <c r="V17" s="398"/>
      <c r="W17" s="398"/>
      <c r="X17" s="398"/>
      <c r="Y17" s="398"/>
      <c r="Z17" s="398"/>
    </row>
    <row r="18" spans="1:26" s="378" customFormat="1" ht="27.75" customHeight="1" x14ac:dyDescent="0.25">
      <c r="A18" s="478" t="s">
        <v>1889</v>
      </c>
      <c r="B18" s="31" t="s">
        <v>297</v>
      </c>
      <c r="C18" s="23">
        <v>46012</v>
      </c>
      <c r="D18" s="119" t="s">
        <v>1890</v>
      </c>
      <c r="E18" s="119" t="s">
        <v>1551</v>
      </c>
      <c r="F18" s="119">
        <v>1</v>
      </c>
      <c r="G18" s="120">
        <v>130.76</v>
      </c>
      <c r="H18" s="120">
        <v>97.11</v>
      </c>
      <c r="I18" s="135" t="s">
        <v>1892</v>
      </c>
      <c r="J18" s="487" t="s">
        <v>1893</v>
      </c>
      <c r="K18" s="128" t="s">
        <v>1894</v>
      </c>
      <c r="L18" s="276" t="s">
        <v>1895</v>
      </c>
      <c r="M18" s="281" t="s">
        <v>1896</v>
      </c>
      <c r="N18" s="276" t="s">
        <v>1897</v>
      </c>
      <c r="O18" s="276" t="s">
        <v>1898</v>
      </c>
      <c r="P18" s="143" t="s">
        <v>1058</v>
      </c>
      <c r="Q18" s="143" t="s">
        <v>1592</v>
      </c>
      <c r="R18" s="278" t="s">
        <v>1593</v>
      </c>
      <c r="S18" s="239">
        <v>46018</v>
      </c>
      <c r="T18" s="428" t="s">
        <v>1899</v>
      </c>
      <c r="U18" s="398" t="str">
        <f t="shared" ca="1" si="2"/>
        <v>Fora da garantia</v>
      </c>
      <c r="V18" s="398"/>
      <c r="W18" s="398"/>
      <c r="X18" s="398"/>
      <c r="Y18" s="398"/>
      <c r="Z18" s="398"/>
    </row>
    <row r="19" spans="1:26" s="378" customFormat="1" ht="27.75" customHeight="1" x14ac:dyDescent="0.25">
      <c r="A19" s="478" t="s">
        <v>1879</v>
      </c>
      <c r="B19" s="31" t="s">
        <v>297</v>
      </c>
      <c r="C19" s="23">
        <v>46000</v>
      </c>
      <c r="D19" s="119" t="s">
        <v>1880</v>
      </c>
      <c r="E19" s="119" t="s">
        <v>1618</v>
      </c>
      <c r="F19" s="119">
        <v>1</v>
      </c>
      <c r="G19" s="120">
        <v>170.23</v>
      </c>
      <c r="H19" s="120">
        <v>115.69</v>
      </c>
      <c r="I19" s="135" t="s">
        <v>1791</v>
      </c>
      <c r="J19" s="487" t="s">
        <v>1882</v>
      </c>
      <c r="K19" s="128" t="s">
        <v>1883</v>
      </c>
      <c r="L19" s="276" t="s">
        <v>1884</v>
      </c>
      <c r="M19" s="281" t="s">
        <v>1885</v>
      </c>
      <c r="N19" s="276" t="s">
        <v>1886</v>
      </c>
      <c r="O19" s="276" t="s">
        <v>1887</v>
      </c>
      <c r="P19" s="143" t="s">
        <v>513</v>
      </c>
      <c r="Q19" s="143" t="s">
        <v>1592</v>
      </c>
      <c r="R19" s="278" t="s">
        <v>1593</v>
      </c>
      <c r="S19" s="239">
        <v>46004</v>
      </c>
      <c r="T19" s="428" t="s">
        <v>1888</v>
      </c>
      <c r="U19" s="398" t="str">
        <f t="shared" ca="1" si="2"/>
        <v>Fora da garantia</v>
      </c>
      <c r="V19" s="398"/>
      <c r="W19" s="398"/>
      <c r="X19" s="398"/>
      <c r="Y19" s="398"/>
      <c r="Z19" s="398"/>
    </row>
    <row r="20" spans="1:26" s="378" customFormat="1" ht="27.75" customHeight="1" x14ac:dyDescent="0.25">
      <c r="A20" s="478" t="s">
        <v>1869</v>
      </c>
      <c r="B20" s="31" t="s">
        <v>297</v>
      </c>
      <c r="C20" s="23">
        <v>45994</v>
      </c>
      <c r="D20" s="119" t="s">
        <v>1881</v>
      </c>
      <c r="E20" s="119" t="s">
        <v>47</v>
      </c>
      <c r="F20" s="119">
        <v>1</v>
      </c>
      <c r="G20" s="120">
        <v>34</v>
      </c>
      <c r="H20" s="120">
        <v>23.42</v>
      </c>
      <c r="I20" s="135" t="s">
        <v>1870</v>
      </c>
      <c r="J20" s="487" t="s">
        <v>1871</v>
      </c>
      <c r="K20" s="128" t="s">
        <v>1872</v>
      </c>
      <c r="L20" s="276" t="s">
        <v>1873</v>
      </c>
      <c r="M20" s="281" t="s">
        <v>1874</v>
      </c>
      <c r="N20" s="276" t="s">
        <v>498</v>
      </c>
      <c r="O20" s="276" t="s">
        <v>1875</v>
      </c>
      <c r="P20" s="143" t="s">
        <v>557</v>
      </c>
      <c r="Q20" s="143" t="s">
        <v>1592</v>
      </c>
      <c r="R20" s="278" t="s">
        <v>1593</v>
      </c>
      <c r="S20" s="239">
        <v>46006</v>
      </c>
      <c r="T20" s="428" t="s">
        <v>1876</v>
      </c>
      <c r="U20" s="398" t="str">
        <f t="shared" ca="1" si="2"/>
        <v>Fora da garantia</v>
      </c>
      <c r="V20" s="398"/>
      <c r="W20" s="398"/>
      <c r="X20" s="398"/>
      <c r="Y20" s="398"/>
      <c r="Z20" s="398"/>
    </row>
    <row r="21" spans="1:26" s="378" customFormat="1" ht="27.75" customHeight="1" x14ac:dyDescent="0.25">
      <c r="A21" s="478" t="s">
        <v>1855</v>
      </c>
      <c r="B21" s="31" t="s">
        <v>297</v>
      </c>
      <c r="C21" s="23">
        <v>45987</v>
      </c>
      <c r="D21" s="119" t="s">
        <v>1856</v>
      </c>
      <c r="E21" s="119" t="s">
        <v>1291</v>
      </c>
      <c r="F21" s="119">
        <v>1</v>
      </c>
      <c r="G21" s="120">
        <v>550</v>
      </c>
      <c r="H21" s="120">
        <v>412.05</v>
      </c>
      <c r="I21" s="135" t="s">
        <v>1891</v>
      </c>
      <c r="J21" s="487" t="s">
        <v>1857</v>
      </c>
      <c r="K21" s="128" t="s">
        <v>1858</v>
      </c>
      <c r="L21" s="276" t="s">
        <v>1859</v>
      </c>
      <c r="M21" s="281" t="s">
        <v>1860</v>
      </c>
      <c r="N21" s="276" t="s">
        <v>1861</v>
      </c>
      <c r="O21" s="276" t="s">
        <v>1862</v>
      </c>
      <c r="P21" s="143" t="s">
        <v>705</v>
      </c>
      <c r="Q21" s="143" t="s">
        <v>1592</v>
      </c>
      <c r="R21" s="278" t="s">
        <v>1593</v>
      </c>
      <c r="S21" s="239">
        <v>45994</v>
      </c>
      <c r="T21" s="428" t="s">
        <v>1877</v>
      </c>
      <c r="U21" s="398" t="str">
        <f t="shared" ca="1" si="2"/>
        <v>Fora da garantia</v>
      </c>
      <c r="V21" s="398"/>
      <c r="W21" s="398"/>
      <c r="X21" s="398"/>
      <c r="Y21" s="398"/>
      <c r="Z21" s="398"/>
    </row>
    <row r="22" spans="1:26" s="378" customFormat="1" ht="27.75" customHeight="1" x14ac:dyDescent="0.25">
      <c r="A22" s="478" t="s">
        <v>1854</v>
      </c>
      <c r="B22" s="31" t="s">
        <v>297</v>
      </c>
      <c r="C22" s="23">
        <v>45982</v>
      </c>
      <c r="D22" s="119" t="s">
        <v>1828</v>
      </c>
      <c r="E22" s="119" t="s">
        <v>40</v>
      </c>
      <c r="F22" s="119">
        <v>1</v>
      </c>
      <c r="G22" s="120">
        <v>37.4</v>
      </c>
      <c r="H22" s="120">
        <v>26.41</v>
      </c>
      <c r="I22" s="135" t="s">
        <v>1829</v>
      </c>
      <c r="J22" s="487" t="s">
        <v>1830</v>
      </c>
      <c r="K22" s="128" t="s">
        <v>1831</v>
      </c>
      <c r="L22" s="276" t="s">
        <v>1832</v>
      </c>
      <c r="M22" s="281" t="s">
        <v>1833</v>
      </c>
      <c r="N22" s="276" t="s">
        <v>1834</v>
      </c>
      <c r="O22" s="276" t="s">
        <v>1835</v>
      </c>
      <c r="P22" s="143" t="s">
        <v>471</v>
      </c>
      <c r="Q22" s="143" t="s">
        <v>1592</v>
      </c>
      <c r="R22" s="278" t="s">
        <v>1593</v>
      </c>
      <c r="S22" s="239">
        <v>45990</v>
      </c>
      <c r="T22" s="427" t="s">
        <v>1878</v>
      </c>
      <c r="U22" s="398" t="str">
        <f t="shared" ca="1" si="2"/>
        <v>Fora da garantia</v>
      </c>
      <c r="V22" s="398"/>
      <c r="W22" s="398"/>
      <c r="X22" s="398"/>
      <c r="Y22" s="398"/>
      <c r="Z22" s="398"/>
    </row>
    <row r="23" spans="1:26" s="378" customFormat="1" ht="27.75" customHeight="1" x14ac:dyDescent="0.25">
      <c r="A23" s="478" t="s">
        <v>1846</v>
      </c>
      <c r="B23" s="31" t="s">
        <v>297</v>
      </c>
      <c r="C23" s="23">
        <v>45980</v>
      </c>
      <c r="D23" s="119" t="s">
        <v>1405</v>
      </c>
      <c r="E23" s="119" t="s">
        <v>86</v>
      </c>
      <c r="F23" s="119">
        <v>1</v>
      </c>
      <c r="G23" s="120">
        <v>252</v>
      </c>
      <c r="H23" s="120">
        <v>187.71</v>
      </c>
      <c r="I23" s="135" t="s">
        <v>1847</v>
      </c>
      <c r="J23" s="487" t="s">
        <v>1848</v>
      </c>
      <c r="K23" s="128" t="s">
        <v>1849</v>
      </c>
      <c r="L23" s="276" t="s">
        <v>1850</v>
      </c>
      <c r="M23" s="281" t="s">
        <v>1851</v>
      </c>
      <c r="N23" s="276" t="s">
        <v>1852</v>
      </c>
      <c r="O23" s="276" t="s">
        <v>1455</v>
      </c>
      <c r="P23" s="143" t="s">
        <v>471</v>
      </c>
      <c r="Q23" s="143" t="s">
        <v>1592</v>
      </c>
      <c r="R23" s="278" t="s">
        <v>1593</v>
      </c>
      <c r="S23" s="239">
        <v>45984</v>
      </c>
      <c r="T23" s="427" t="s">
        <v>1853</v>
      </c>
      <c r="U23" s="398" t="str">
        <f t="shared" ca="1" si="2"/>
        <v>Fora da garantia</v>
      </c>
      <c r="V23" s="398"/>
      <c r="W23" s="398"/>
      <c r="X23" s="398"/>
      <c r="Y23" s="398"/>
      <c r="Z23" s="398"/>
    </row>
    <row r="24" spans="1:26" s="378" customFormat="1" ht="27.75" customHeight="1" x14ac:dyDescent="0.25">
      <c r="A24" s="478" t="s">
        <v>1837</v>
      </c>
      <c r="B24" s="31" t="s">
        <v>297</v>
      </c>
      <c r="C24" s="23">
        <v>45979</v>
      </c>
      <c r="D24" s="119" t="s">
        <v>477</v>
      </c>
      <c r="E24" s="119" t="s">
        <v>16</v>
      </c>
      <c r="F24" s="119">
        <v>1</v>
      </c>
      <c r="G24" s="120">
        <v>630</v>
      </c>
      <c r="H24" s="120">
        <v>499.45</v>
      </c>
      <c r="I24" s="135" t="s">
        <v>1838</v>
      </c>
      <c r="J24" s="487" t="s">
        <v>1839</v>
      </c>
      <c r="K24" s="128" t="s">
        <v>1840</v>
      </c>
      <c r="L24" s="276" t="s">
        <v>1841</v>
      </c>
      <c r="M24" s="281" t="s">
        <v>1842</v>
      </c>
      <c r="N24" s="276" t="s">
        <v>1843</v>
      </c>
      <c r="O24" s="276" t="s">
        <v>1844</v>
      </c>
      <c r="P24" s="143" t="s">
        <v>1058</v>
      </c>
      <c r="Q24" s="143" t="s">
        <v>1592</v>
      </c>
      <c r="R24" s="278" t="s">
        <v>1593</v>
      </c>
      <c r="S24" s="239">
        <v>45983</v>
      </c>
      <c r="T24" s="427" t="s">
        <v>1845</v>
      </c>
      <c r="U24" s="398" t="str">
        <f t="shared" ref="U24:U36" ca="1" si="3">IF(S24="", "", IF(TODAY() &lt;= DATE(YEAR(S24), MONTH(S24)+3, DAY(S24)), "Em garantia", "Fora da garantia"))</f>
        <v>Fora da garantia</v>
      </c>
      <c r="V24" s="398"/>
      <c r="W24" s="398"/>
      <c r="X24" s="398"/>
      <c r="Y24" s="398"/>
      <c r="Z24" s="398"/>
    </row>
    <row r="25" spans="1:26" s="378" customFormat="1" ht="27.75" customHeight="1" x14ac:dyDescent="0.25">
      <c r="A25" s="478" t="s">
        <v>1827</v>
      </c>
      <c r="B25" s="31" t="s">
        <v>297</v>
      </c>
      <c r="C25" s="23">
        <v>45979</v>
      </c>
      <c r="D25" s="119" t="s">
        <v>1828</v>
      </c>
      <c r="E25" s="119" t="s">
        <v>40</v>
      </c>
      <c r="F25" s="119">
        <v>1</v>
      </c>
      <c r="G25" s="120">
        <v>37.4</v>
      </c>
      <c r="H25" s="120">
        <v>26.41</v>
      </c>
      <c r="I25" s="135" t="s">
        <v>1829</v>
      </c>
      <c r="J25" s="487" t="s">
        <v>1830</v>
      </c>
      <c r="K25" s="128" t="s">
        <v>1831</v>
      </c>
      <c r="L25" s="276" t="s">
        <v>1832</v>
      </c>
      <c r="M25" s="281" t="s">
        <v>1833</v>
      </c>
      <c r="N25" s="276" t="s">
        <v>1834</v>
      </c>
      <c r="O25" s="276" t="s">
        <v>1835</v>
      </c>
      <c r="P25" s="143" t="s">
        <v>471</v>
      </c>
      <c r="Q25" s="143" t="s">
        <v>1592</v>
      </c>
      <c r="R25" s="278" t="s">
        <v>1593</v>
      </c>
      <c r="S25" s="239">
        <v>45983</v>
      </c>
      <c r="T25" s="427" t="s">
        <v>1836</v>
      </c>
      <c r="U25" s="398" t="str">
        <f t="shared" ca="1" si="3"/>
        <v>Fora da garantia</v>
      </c>
      <c r="V25" s="398"/>
      <c r="W25" s="398"/>
      <c r="X25" s="398"/>
      <c r="Y25" s="398"/>
      <c r="Z25" s="398"/>
    </row>
    <row r="26" spans="1:26" s="378" customFormat="1" ht="27.75" customHeight="1" x14ac:dyDescent="0.25">
      <c r="A26" s="478" t="s">
        <v>1818</v>
      </c>
      <c r="B26" s="31" t="s">
        <v>297</v>
      </c>
      <c r="C26" s="23">
        <v>45979</v>
      </c>
      <c r="D26" s="119" t="s">
        <v>1819</v>
      </c>
      <c r="E26" s="119" t="s">
        <v>1615</v>
      </c>
      <c r="F26" s="119">
        <v>1</v>
      </c>
      <c r="G26" s="120">
        <v>266</v>
      </c>
      <c r="H26" s="120">
        <v>192.33</v>
      </c>
      <c r="I26" s="135" t="s">
        <v>1820</v>
      </c>
      <c r="J26" s="487" t="s">
        <v>1821</v>
      </c>
      <c r="K26" s="128" t="s">
        <v>1822</v>
      </c>
      <c r="L26" s="276" t="s">
        <v>1823</v>
      </c>
      <c r="M26" s="281" t="s">
        <v>1824</v>
      </c>
      <c r="N26" s="276" t="s">
        <v>498</v>
      </c>
      <c r="O26" s="276" t="s">
        <v>1825</v>
      </c>
      <c r="P26" s="143" t="s">
        <v>854</v>
      </c>
      <c r="Q26" s="143" t="s">
        <v>1592</v>
      </c>
      <c r="R26" s="278" t="s">
        <v>1593</v>
      </c>
      <c r="S26" s="239">
        <v>45987</v>
      </c>
      <c r="T26" s="427" t="s">
        <v>1826</v>
      </c>
      <c r="U26" s="398" t="str">
        <f t="shared" ca="1" si="3"/>
        <v>Fora da garantia</v>
      </c>
      <c r="V26" s="398"/>
      <c r="W26" s="398"/>
      <c r="X26" s="398"/>
      <c r="Y26" s="398"/>
      <c r="Z26" s="398"/>
    </row>
    <row r="27" spans="1:26" s="378" customFormat="1" ht="27.75" customHeight="1" x14ac:dyDescent="0.25">
      <c r="A27" s="478" t="s">
        <v>1810</v>
      </c>
      <c r="B27" s="31" t="s">
        <v>297</v>
      </c>
      <c r="C27" s="23">
        <v>45978</v>
      </c>
      <c r="D27" s="119" t="s">
        <v>638</v>
      </c>
      <c r="E27" s="119" t="s">
        <v>8</v>
      </c>
      <c r="F27" s="119">
        <v>1</v>
      </c>
      <c r="G27" s="120">
        <v>2280</v>
      </c>
      <c r="H27" s="120">
        <v>1865.45</v>
      </c>
      <c r="I27" s="135" t="s">
        <v>1811</v>
      </c>
      <c r="J27" s="487" t="s">
        <v>1816</v>
      </c>
      <c r="K27" s="128" t="s">
        <v>1812</v>
      </c>
      <c r="L27" s="276" t="s">
        <v>1813</v>
      </c>
      <c r="M27" s="281" t="s">
        <v>1814</v>
      </c>
      <c r="N27" s="276" t="s">
        <v>498</v>
      </c>
      <c r="O27" s="276" t="s">
        <v>1815</v>
      </c>
      <c r="P27" s="143" t="s">
        <v>519</v>
      </c>
      <c r="Q27" s="143" t="s">
        <v>1592</v>
      </c>
      <c r="R27" s="278" t="s">
        <v>1593</v>
      </c>
      <c r="S27" s="239">
        <v>45982</v>
      </c>
      <c r="T27" s="427" t="s">
        <v>1817</v>
      </c>
      <c r="U27" s="398" t="str">
        <f t="shared" ca="1" si="3"/>
        <v>Fora da garantia</v>
      </c>
      <c r="V27" s="398"/>
      <c r="W27" s="398"/>
      <c r="X27" s="398"/>
      <c r="Y27" s="398"/>
      <c r="Z27" s="398"/>
    </row>
    <row r="28" spans="1:26" s="378" customFormat="1" ht="27.75" customHeight="1" x14ac:dyDescent="0.25">
      <c r="A28" s="478" t="s">
        <v>1800</v>
      </c>
      <c r="B28" s="31" t="s">
        <v>355</v>
      </c>
      <c r="C28" s="23">
        <v>45978</v>
      </c>
      <c r="D28" s="119" t="s">
        <v>1801</v>
      </c>
      <c r="E28" s="119" t="s">
        <v>130</v>
      </c>
      <c r="F28" s="119">
        <v>1</v>
      </c>
      <c r="G28" s="120">
        <v>184.8</v>
      </c>
      <c r="H28" s="120">
        <v>-134.08000000000001</v>
      </c>
      <c r="I28" s="135" t="s">
        <v>1802</v>
      </c>
      <c r="J28" s="487" t="s">
        <v>1803</v>
      </c>
      <c r="K28" s="128" t="s">
        <v>1804</v>
      </c>
      <c r="L28" s="276" t="s">
        <v>1805</v>
      </c>
      <c r="M28" s="281" t="s">
        <v>1806</v>
      </c>
      <c r="N28" s="281" t="s">
        <v>1807</v>
      </c>
      <c r="O28" s="276" t="s">
        <v>1808</v>
      </c>
      <c r="P28" s="143" t="s">
        <v>471</v>
      </c>
      <c r="Q28" s="143" t="s">
        <v>1592</v>
      </c>
      <c r="R28" s="278" t="s">
        <v>1593</v>
      </c>
      <c r="S28" s="239">
        <v>45982</v>
      </c>
      <c r="T28" s="427" t="s">
        <v>1809</v>
      </c>
      <c r="U28" s="398" t="str">
        <f t="shared" ca="1" si="3"/>
        <v>Fora da garantia</v>
      </c>
      <c r="V28" s="398"/>
      <c r="W28" s="398"/>
      <c r="X28" s="398"/>
      <c r="Y28" s="398"/>
      <c r="Z28" s="398"/>
    </row>
    <row r="29" spans="1:26" s="378" customFormat="1" ht="27.75" customHeight="1" x14ac:dyDescent="0.25">
      <c r="A29" s="478" t="s">
        <v>1788</v>
      </c>
      <c r="B29" s="31" t="s">
        <v>297</v>
      </c>
      <c r="C29" s="23">
        <v>45978</v>
      </c>
      <c r="D29" s="119" t="s">
        <v>1790</v>
      </c>
      <c r="E29" s="119" t="s">
        <v>1618</v>
      </c>
      <c r="F29" s="119">
        <v>1</v>
      </c>
      <c r="G29" s="120">
        <v>170.24</v>
      </c>
      <c r="H29" s="120">
        <v>115.7</v>
      </c>
      <c r="I29" s="135" t="s">
        <v>1791</v>
      </c>
      <c r="J29" s="487" t="s">
        <v>1792</v>
      </c>
      <c r="K29" s="128" t="s">
        <v>1793</v>
      </c>
      <c r="L29" s="276" t="s">
        <v>1794</v>
      </c>
      <c r="M29" s="281" t="s">
        <v>1795</v>
      </c>
      <c r="N29" s="281" t="s">
        <v>1796</v>
      </c>
      <c r="O29" s="276" t="s">
        <v>1797</v>
      </c>
      <c r="P29" s="143" t="s">
        <v>845</v>
      </c>
      <c r="Q29" s="143" t="s">
        <v>1592</v>
      </c>
      <c r="R29" s="278" t="s">
        <v>1593</v>
      </c>
      <c r="S29" s="239">
        <v>45980</v>
      </c>
      <c r="T29" s="427" t="s">
        <v>1798</v>
      </c>
      <c r="U29" s="398" t="str">
        <f t="shared" ca="1" si="3"/>
        <v>Fora da garantia</v>
      </c>
      <c r="V29" s="398"/>
      <c r="W29" s="398"/>
      <c r="X29" s="398"/>
      <c r="Y29" s="398"/>
      <c r="Z29" s="398"/>
    </row>
    <row r="30" spans="1:26" s="378" customFormat="1" ht="27.75" customHeight="1" x14ac:dyDescent="0.25">
      <c r="A30" s="478" t="s">
        <v>1780</v>
      </c>
      <c r="B30" s="31" t="s">
        <v>297</v>
      </c>
      <c r="C30" s="23">
        <v>45976</v>
      </c>
      <c r="D30" s="119" t="s">
        <v>1405</v>
      </c>
      <c r="E30" s="119" t="s">
        <v>86</v>
      </c>
      <c r="F30" s="119">
        <v>1</v>
      </c>
      <c r="G30" s="120">
        <v>252</v>
      </c>
      <c r="H30" s="120">
        <v>187.71</v>
      </c>
      <c r="I30" s="135" t="s">
        <v>1781</v>
      </c>
      <c r="J30" s="487" t="s">
        <v>1782</v>
      </c>
      <c r="K30" s="128" t="s">
        <v>1783</v>
      </c>
      <c r="L30" s="276" t="s">
        <v>1784</v>
      </c>
      <c r="M30" s="281" t="s">
        <v>1785</v>
      </c>
      <c r="N30" s="281" t="s">
        <v>1786</v>
      </c>
      <c r="O30" s="276" t="s">
        <v>1787</v>
      </c>
      <c r="P30" s="143" t="s">
        <v>471</v>
      </c>
      <c r="Q30" s="143" t="s">
        <v>1592</v>
      </c>
      <c r="R30" s="278" t="s">
        <v>1593</v>
      </c>
      <c r="S30" s="239">
        <v>45980</v>
      </c>
      <c r="T30" s="427" t="s">
        <v>1799</v>
      </c>
      <c r="U30" s="398" t="str">
        <f t="shared" ca="1" si="3"/>
        <v>Fora da garantia</v>
      </c>
      <c r="V30" s="398"/>
      <c r="W30" s="398"/>
      <c r="X30" s="398"/>
      <c r="Y30" s="398"/>
      <c r="Z30" s="398"/>
    </row>
    <row r="31" spans="1:26" s="378" customFormat="1" ht="27.75" customHeight="1" x14ac:dyDescent="0.25">
      <c r="A31" s="478" t="s">
        <v>1770</v>
      </c>
      <c r="B31" s="31" t="s">
        <v>297</v>
      </c>
      <c r="C31" s="23">
        <v>45975</v>
      </c>
      <c r="D31" s="119" t="s">
        <v>1771</v>
      </c>
      <c r="E31" s="119" t="s">
        <v>1729</v>
      </c>
      <c r="F31" s="119">
        <v>2</v>
      </c>
      <c r="G31" s="120">
        <v>75.27</v>
      </c>
      <c r="H31" s="120">
        <v>118.98</v>
      </c>
      <c r="I31" s="135" t="s">
        <v>1772</v>
      </c>
      <c r="J31" s="487" t="s">
        <v>1773</v>
      </c>
      <c r="K31" s="128" t="s">
        <v>1774</v>
      </c>
      <c r="L31" s="276" t="s">
        <v>1775</v>
      </c>
      <c r="M31" s="281" t="s">
        <v>1776</v>
      </c>
      <c r="N31" s="281" t="s">
        <v>1777</v>
      </c>
      <c r="O31" s="276" t="s">
        <v>1778</v>
      </c>
      <c r="P31" s="143" t="s">
        <v>557</v>
      </c>
      <c r="Q31" s="143" t="s">
        <v>1592</v>
      </c>
      <c r="R31" s="278" t="s">
        <v>1593</v>
      </c>
      <c r="S31" s="239">
        <v>45981</v>
      </c>
      <c r="T31" s="427" t="s">
        <v>1779</v>
      </c>
      <c r="U31" s="398" t="str">
        <f t="shared" ca="1" si="3"/>
        <v>Fora da garantia</v>
      </c>
      <c r="V31" s="398"/>
      <c r="W31" s="398"/>
      <c r="X31" s="398"/>
      <c r="Y31" s="398"/>
      <c r="Z31" s="398"/>
    </row>
    <row r="32" spans="1:26" s="378" customFormat="1" ht="27.75" customHeight="1" x14ac:dyDescent="0.25">
      <c r="A32" s="478" t="s">
        <v>1672</v>
      </c>
      <c r="B32" s="31" t="s">
        <v>297</v>
      </c>
      <c r="C32" s="23">
        <v>45971</v>
      </c>
      <c r="D32" s="119" t="s">
        <v>1673</v>
      </c>
      <c r="E32" s="119" t="s">
        <v>1330</v>
      </c>
      <c r="F32" s="119">
        <v>1</v>
      </c>
      <c r="G32" s="120">
        <v>449.99</v>
      </c>
      <c r="H32" s="120">
        <v>329.04</v>
      </c>
      <c r="I32" s="135" t="s">
        <v>1762</v>
      </c>
      <c r="J32" s="487" t="s">
        <v>1763</v>
      </c>
      <c r="K32" s="128" t="s">
        <v>1764</v>
      </c>
      <c r="L32" s="276" t="s">
        <v>1765</v>
      </c>
      <c r="M32" s="281" t="s">
        <v>1766</v>
      </c>
      <c r="N32" s="281" t="s">
        <v>1767</v>
      </c>
      <c r="O32" s="276" t="s">
        <v>1768</v>
      </c>
      <c r="P32" s="143" t="s">
        <v>513</v>
      </c>
      <c r="Q32" s="143" t="s">
        <v>1592</v>
      </c>
      <c r="R32" s="278" t="s">
        <v>1593</v>
      </c>
      <c r="S32" s="239">
        <v>45972</v>
      </c>
      <c r="T32" s="427" t="s">
        <v>1769</v>
      </c>
      <c r="U32" s="398" t="str">
        <f t="shared" ca="1" si="3"/>
        <v>Fora da garantia</v>
      </c>
      <c r="V32" s="398"/>
      <c r="W32" s="398"/>
      <c r="X32" s="398"/>
      <c r="Y32" s="398"/>
      <c r="Z32" s="398"/>
    </row>
    <row r="33" spans="1:26" s="378" customFormat="1" ht="27.75" customHeight="1" x14ac:dyDescent="0.25">
      <c r="A33" s="478" t="s">
        <v>1654</v>
      </c>
      <c r="B33" s="31" t="s">
        <v>297</v>
      </c>
      <c r="C33" s="23">
        <v>45961</v>
      </c>
      <c r="D33" s="119" t="s">
        <v>1405</v>
      </c>
      <c r="E33" s="119" t="s">
        <v>86</v>
      </c>
      <c r="F33" s="119">
        <v>1</v>
      </c>
      <c r="G33" s="120">
        <v>266</v>
      </c>
      <c r="H33" s="120">
        <v>199.33</v>
      </c>
      <c r="I33" s="135" t="s">
        <v>1655</v>
      </c>
      <c r="J33" s="487" t="s">
        <v>1656</v>
      </c>
      <c r="K33" s="128" t="s">
        <v>1657</v>
      </c>
      <c r="L33" s="276" t="s">
        <v>1658</v>
      </c>
      <c r="M33" s="281" t="s">
        <v>1659</v>
      </c>
      <c r="N33" s="281" t="s">
        <v>1660</v>
      </c>
      <c r="O33" s="276" t="s">
        <v>1661</v>
      </c>
      <c r="P33" s="143" t="s">
        <v>621</v>
      </c>
      <c r="Q33" s="143" t="s">
        <v>1592</v>
      </c>
      <c r="R33" s="278" t="s">
        <v>1593</v>
      </c>
      <c r="S33" s="239">
        <v>45965</v>
      </c>
      <c r="T33" s="427" t="s">
        <v>1662</v>
      </c>
      <c r="U33" s="398" t="str">
        <f t="shared" ca="1" si="3"/>
        <v>Fora da garantia</v>
      </c>
      <c r="V33" s="398"/>
      <c r="W33" s="398"/>
      <c r="X33" s="398"/>
      <c r="Y33" s="398"/>
      <c r="Z33" s="398"/>
    </row>
    <row r="34" spans="1:26" s="378" customFormat="1" ht="27.75" customHeight="1" x14ac:dyDescent="0.25">
      <c r="A34" s="478" t="s">
        <v>1641</v>
      </c>
      <c r="B34" s="31" t="s">
        <v>297</v>
      </c>
      <c r="C34" s="23">
        <v>45958</v>
      </c>
      <c r="D34" s="119" t="s">
        <v>477</v>
      </c>
      <c r="E34" s="119" t="s">
        <v>16</v>
      </c>
      <c r="F34" s="119">
        <v>1</v>
      </c>
      <c r="G34" s="120">
        <v>630</v>
      </c>
      <c r="H34" s="120">
        <v>499.45</v>
      </c>
      <c r="I34" s="135" t="s">
        <v>1643</v>
      </c>
      <c r="J34" s="487" t="s">
        <v>1644</v>
      </c>
      <c r="K34" s="128" t="s">
        <v>1645</v>
      </c>
      <c r="L34" s="276" t="s">
        <v>1646</v>
      </c>
      <c r="M34" s="281" t="s">
        <v>1647</v>
      </c>
      <c r="N34" s="281" t="s">
        <v>1648</v>
      </c>
      <c r="O34" s="276" t="s">
        <v>1649</v>
      </c>
      <c r="P34" s="143" t="s">
        <v>471</v>
      </c>
      <c r="Q34" s="143" t="s">
        <v>1592</v>
      </c>
      <c r="R34" s="278" t="s">
        <v>1593</v>
      </c>
      <c r="S34" s="239">
        <v>45961</v>
      </c>
      <c r="T34" s="427" t="s">
        <v>1650</v>
      </c>
      <c r="U34" s="398" t="str">
        <f t="shared" ca="1" si="3"/>
        <v>Fora da garantia</v>
      </c>
      <c r="V34" s="398"/>
      <c r="W34" s="398"/>
      <c r="X34" s="398"/>
      <c r="Y34" s="398"/>
      <c r="Z34" s="398"/>
    </row>
    <row r="35" spans="1:26" s="378" customFormat="1" ht="27.75" customHeight="1" x14ac:dyDescent="0.25">
      <c r="A35" s="478" t="s">
        <v>1632</v>
      </c>
      <c r="B35" s="31" t="s">
        <v>297</v>
      </c>
      <c r="C35" s="23">
        <v>45957</v>
      </c>
      <c r="D35" s="119" t="s">
        <v>1633</v>
      </c>
      <c r="E35" s="119" t="s">
        <v>94</v>
      </c>
      <c r="F35" s="119">
        <v>1</v>
      </c>
      <c r="G35" s="120">
        <v>40.32</v>
      </c>
      <c r="H35" s="120">
        <v>28.98</v>
      </c>
      <c r="I35" s="135" t="s">
        <v>1642</v>
      </c>
      <c r="J35" s="487" t="s">
        <v>1634</v>
      </c>
      <c r="K35" s="128" t="s">
        <v>1635</v>
      </c>
      <c r="L35" s="276" t="s">
        <v>1636</v>
      </c>
      <c r="M35" s="281" t="s">
        <v>1637</v>
      </c>
      <c r="N35" s="281" t="s">
        <v>1638</v>
      </c>
      <c r="O35" s="276" t="s">
        <v>713</v>
      </c>
      <c r="P35" s="143" t="s">
        <v>490</v>
      </c>
      <c r="Q35" s="143" t="s">
        <v>1592</v>
      </c>
      <c r="R35" s="278" t="s">
        <v>1593</v>
      </c>
      <c r="S35" s="239">
        <v>45962</v>
      </c>
      <c r="T35" s="427" t="s">
        <v>1640</v>
      </c>
      <c r="U35" s="398" t="str">
        <f t="shared" ca="1" si="3"/>
        <v>Fora da garantia</v>
      </c>
      <c r="V35" s="398"/>
      <c r="W35" s="398"/>
      <c r="X35" s="398"/>
      <c r="Y35" s="398"/>
      <c r="Z35" s="398"/>
    </row>
    <row r="36" spans="1:26" s="378" customFormat="1" ht="27.75" customHeight="1" x14ac:dyDescent="0.25">
      <c r="A36" s="478" t="s">
        <v>1624</v>
      </c>
      <c r="B36" s="31" t="s">
        <v>297</v>
      </c>
      <c r="C36" s="23">
        <v>45956</v>
      </c>
      <c r="D36" s="119" t="s">
        <v>1625</v>
      </c>
      <c r="E36" s="119" t="s">
        <v>30</v>
      </c>
      <c r="F36" s="119">
        <v>1</v>
      </c>
      <c r="G36" s="120">
        <v>21</v>
      </c>
      <c r="H36" s="120">
        <v>12.23</v>
      </c>
      <c r="I36" s="135" t="s">
        <v>1626</v>
      </c>
      <c r="J36" s="487" t="s">
        <v>1628</v>
      </c>
      <c r="K36" s="128" t="s">
        <v>1627</v>
      </c>
      <c r="L36" s="276" t="s">
        <v>1629</v>
      </c>
      <c r="M36" s="281" t="s">
        <v>1630</v>
      </c>
      <c r="N36" s="281" t="s">
        <v>1631</v>
      </c>
      <c r="O36" s="276" t="s">
        <v>1639</v>
      </c>
      <c r="P36" s="143" t="s">
        <v>513</v>
      </c>
      <c r="Q36" s="143" t="s">
        <v>1592</v>
      </c>
      <c r="R36" s="278" t="s">
        <v>1593</v>
      </c>
      <c r="S36" s="239">
        <v>45961</v>
      </c>
      <c r="T36" s="427" t="s">
        <v>1651</v>
      </c>
      <c r="U36" s="398" t="str">
        <f t="shared" ca="1" si="3"/>
        <v>Fora da garantia</v>
      </c>
      <c r="V36" s="398"/>
      <c r="W36" s="398"/>
      <c r="X36" s="398"/>
      <c r="Y36" s="398"/>
      <c r="Z36" s="398"/>
    </row>
    <row r="37" spans="1:26" s="378" customFormat="1" ht="27.75" customHeight="1" x14ac:dyDescent="0.25">
      <c r="A37" s="478" t="s">
        <v>1595</v>
      </c>
      <c r="B37" s="31" t="s">
        <v>297</v>
      </c>
      <c r="C37" s="23">
        <v>45951</v>
      </c>
      <c r="D37" s="119" t="s">
        <v>478</v>
      </c>
      <c r="E37" s="119" t="s">
        <v>116</v>
      </c>
      <c r="F37" s="119">
        <v>1</v>
      </c>
      <c r="G37" s="120">
        <v>415.99</v>
      </c>
      <c r="H37" s="120">
        <v>166.32</v>
      </c>
      <c r="I37" s="135" t="s">
        <v>1586</v>
      </c>
      <c r="J37" s="487" t="s">
        <v>1596</v>
      </c>
      <c r="K37" s="128" t="s">
        <v>1597</v>
      </c>
      <c r="L37" s="276" t="s">
        <v>1598</v>
      </c>
      <c r="M37" s="281" t="s">
        <v>1599</v>
      </c>
      <c r="N37" s="281" t="s">
        <v>1600</v>
      </c>
      <c r="O37" s="281" t="s">
        <v>1601</v>
      </c>
      <c r="P37" s="143" t="s">
        <v>845</v>
      </c>
      <c r="Q37" s="143" t="s">
        <v>1592</v>
      </c>
      <c r="R37" s="278" t="s">
        <v>1593</v>
      </c>
      <c r="S37" s="239">
        <v>45957</v>
      </c>
      <c r="T37" s="428" t="s">
        <v>1602</v>
      </c>
      <c r="U37" s="398" t="str">
        <f t="shared" ref="U37:U44" ca="1" si="4">IF(S37="", "", IF(TODAY() &lt;= DATE(YEAR(S37), MONTH(S37)+3, DAY(S37)), "Em garantia", "Fora da garantia"))</f>
        <v>Fora da garantia</v>
      </c>
      <c r="V37" s="398"/>
      <c r="W37" s="398"/>
      <c r="X37" s="398"/>
      <c r="Y37" s="398"/>
      <c r="Z37" s="398"/>
    </row>
    <row r="38" spans="1:26" s="378" customFormat="1" ht="27.75" customHeight="1" x14ac:dyDescent="0.25">
      <c r="A38" s="478" t="s">
        <v>1585</v>
      </c>
      <c r="B38" s="31" t="s">
        <v>297</v>
      </c>
      <c r="C38" s="23">
        <v>45948</v>
      </c>
      <c r="D38" s="119" t="s">
        <v>478</v>
      </c>
      <c r="E38" s="119" t="s">
        <v>116</v>
      </c>
      <c r="F38" s="119">
        <v>1</v>
      </c>
      <c r="G38" s="120">
        <v>415.99</v>
      </c>
      <c r="H38" s="120">
        <v>166.32</v>
      </c>
      <c r="I38" s="135" t="s">
        <v>1586</v>
      </c>
      <c r="J38" s="487" t="s">
        <v>1587</v>
      </c>
      <c r="K38" s="128" t="s">
        <v>1588</v>
      </c>
      <c r="L38" s="276" t="s">
        <v>1589</v>
      </c>
      <c r="M38" s="281" t="s">
        <v>1590</v>
      </c>
      <c r="N38" s="281" t="s">
        <v>1591</v>
      </c>
      <c r="O38" s="281" t="s">
        <v>713</v>
      </c>
      <c r="P38" s="143" t="s">
        <v>490</v>
      </c>
      <c r="Q38" s="143" t="s">
        <v>1592</v>
      </c>
      <c r="R38" s="509" t="s">
        <v>1593</v>
      </c>
      <c r="S38" s="239">
        <v>45952</v>
      </c>
      <c r="T38" s="428" t="s">
        <v>1594</v>
      </c>
      <c r="U38" s="398" t="str">
        <f t="shared" ca="1" si="4"/>
        <v>Fora da garantia</v>
      </c>
      <c r="V38" s="398"/>
      <c r="W38" s="398"/>
      <c r="X38" s="398"/>
      <c r="Y38" s="398"/>
      <c r="Z38" s="398"/>
    </row>
    <row r="39" spans="1:26" s="378" customFormat="1" ht="27.75" customHeight="1" x14ac:dyDescent="0.25">
      <c r="A39" s="478" t="s">
        <v>1554</v>
      </c>
      <c r="B39" s="31" t="s">
        <v>298</v>
      </c>
      <c r="C39" s="23">
        <v>45943</v>
      </c>
      <c r="D39" s="119" t="s">
        <v>478</v>
      </c>
      <c r="E39" s="119" t="s">
        <v>116</v>
      </c>
      <c r="F39" s="119">
        <v>1</v>
      </c>
      <c r="G39" s="120">
        <v>285.99</v>
      </c>
      <c r="H39" s="120">
        <v>543.01</v>
      </c>
      <c r="I39" s="135"/>
      <c r="J39" s="487" t="s">
        <v>1555</v>
      </c>
      <c r="K39" s="128" t="s">
        <v>1556</v>
      </c>
      <c r="L39" s="276" t="s">
        <v>1557</v>
      </c>
      <c r="M39" s="281" t="s">
        <v>1558</v>
      </c>
      <c r="N39" s="281" t="s">
        <v>498</v>
      </c>
      <c r="O39" s="281" t="s">
        <v>1559</v>
      </c>
      <c r="P39" s="143" t="s">
        <v>551</v>
      </c>
      <c r="Q39" s="143"/>
      <c r="R39" s="143"/>
      <c r="S39" s="239"/>
      <c r="T39" s="427"/>
      <c r="U39" s="398" t="str">
        <f t="shared" ca="1" si="4"/>
        <v/>
      </c>
      <c r="V39" s="398"/>
      <c r="W39" s="398"/>
      <c r="X39" s="398"/>
      <c r="Y39" s="398"/>
      <c r="Z39" s="398"/>
    </row>
    <row r="40" spans="1:26" s="378" customFormat="1" ht="27.75" customHeight="1" x14ac:dyDescent="0.25">
      <c r="A40" s="479" t="s">
        <v>1603</v>
      </c>
      <c r="B40" s="31" t="s">
        <v>297</v>
      </c>
      <c r="C40" s="23">
        <v>45942</v>
      </c>
      <c r="D40" s="119" t="s">
        <v>1604</v>
      </c>
      <c r="E40" s="119" t="s">
        <v>1227</v>
      </c>
      <c r="F40" s="119">
        <v>1</v>
      </c>
      <c r="G40" s="120">
        <v>600</v>
      </c>
      <c r="H40" s="120">
        <v>473.05</v>
      </c>
      <c r="I40" s="135" t="s">
        <v>1605</v>
      </c>
      <c r="J40" s="500" t="s">
        <v>1606</v>
      </c>
      <c r="K40" s="128" t="s">
        <v>1607</v>
      </c>
      <c r="L40" s="501" t="s">
        <v>1608</v>
      </c>
      <c r="M40" s="498" t="s">
        <v>1609</v>
      </c>
      <c r="N40" s="499" t="s">
        <v>1610</v>
      </c>
      <c r="O40" s="499" t="s">
        <v>1009</v>
      </c>
      <c r="P40" s="128" t="s">
        <v>1010</v>
      </c>
      <c r="Q40" s="128" t="s">
        <v>570</v>
      </c>
      <c r="R40" s="128" t="s">
        <v>1611</v>
      </c>
      <c r="S40" s="241">
        <v>45950</v>
      </c>
      <c r="T40" s="427"/>
      <c r="U40" s="398" t="str">
        <f ca="1">IF(S40="", "", IF(TODAY() &lt;= DATE(YEAR(S40), MONTH(S40)+3, DAY(S40)), "Em garantia", "Fora da garantia"))</f>
        <v>Fora da garantia</v>
      </c>
      <c r="V40" s="398"/>
      <c r="W40" s="398"/>
      <c r="X40" s="398"/>
      <c r="Y40" s="398"/>
      <c r="Z40" s="398"/>
    </row>
    <row r="41" spans="1:26" s="378" customFormat="1" ht="27.75" customHeight="1" x14ac:dyDescent="0.25">
      <c r="A41" s="478" t="s">
        <v>1533</v>
      </c>
      <c r="B41" s="31" t="s">
        <v>297</v>
      </c>
      <c r="C41" s="23">
        <v>45935</v>
      </c>
      <c r="D41" s="119" t="s">
        <v>1534</v>
      </c>
      <c r="E41" s="119" t="s">
        <v>1309</v>
      </c>
      <c r="F41" s="119">
        <v>1</v>
      </c>
      <c r="G41" s="120">
        <v>93.22</v>
      </c>
      <c r="H41" s="120">
        <v>74.150000000000006</v>
      </c>
      <c r="I41" s="135"/>
      <c r="J41" s="487" t="s">
        <v>524</v>
      </c>
      <c r="K41" s="128" t="s">
        <v>525</v>
      </c>
      <c r="L41" s="276" t="s">
        <v>1303</v>
      </c>
      <c r="M41" s="281" t="s">
        <v>526</v>
      </c>
      <c r="N41" s="281" t="s">
        <v>498</v>
      </c>
      <c r="O41" s="281" t="s">
        <v>527</v>
      </c>
      <c r="P41" s="143" t="s">
        <v>513</v>
      </c>
      <c r="Q41" s="143" t="s">
        <v>570</v>
      </c>
      <c r="R41" s="143" t="s">
        <v>1535</v>
      </c>
      <c r="S41" s="239">
        <v>45940</v>
      </c>
      <c r="T41" s="428" t="s">
        <v>1653</v>
      </c>
      <c r="U41" s="398" t="str">
        <f t="shared" ca="1" si="4"/>
        <v>Fora da garantia</v>
      </c>
      <c r="V41" s="398"/>
      <c r="W41" s="398"/>
      <c r="X41" s="398"/>
      <c r="Y41" s="398"/>
      <c r="Z41" s="398"/>
    </row>
    <row r="42" spans="1:26" s="378" customFormat="1" ht="27.75" customHeight="1" x14ac:dyDescent="0.25">
      <c r="A42" s="506" t="s">
        <v>1536</v>
      </c>
      <c r="B42" s="31" t="s">
        <v>297</v>
      </c>
      <c r="C42" s="23">
        <v>45929</v>
      </c>
      <c r="D42" s="119" t="s">
        <v>478</v>
      </c>
      <c r="E42" s="119" t="s">
        <v>116</v>
      </c>
      <c r="F42" s="119">
        <v>1</v>
      </c>
      <c r="G42" s="120">
        <v>285.99</v>
      </c>
      <c r="H42" s="120">
        <v>543.01</v>
      </c>
      <c r="I42" s="135"/>
      <c r="J42" s="500" t="s">
        <v>1537</v>
      </c>
      <c r="K42" s="128" t="s">
        <v>1538</v>
      </c>
      <c r="L42" s="501" t="s">
        <v>1539</v>
      </c>
      <c r="M42" s="498" t="s">
        <v>1540</v>
      </c>
      <c r="N42" s="499" t="s">
        <v>498</v>
      </c>
      <c r="O42" s="276" t="s">
        <v>1541</v>
      </c>
      <c r="P42" s="128" t="s">
        <v>519</v>
      </c>
      <c r="Q42" s="128" t="s">
        <v>1542</v>
      </c>
      <c r="R42" s="128" t="s">
        <v>1543</v>
      </c>
      <c r="S42" s="241">
        <v>45936</v>
      </c>
      <c r="T42" s="428" t="s">
        <v>1543</v>
      </c>
      <c r="U42" s="398" t="str">
        <f t="shared" ca="1" si="4"/>
        <v>Fora da garantia</v>
      </c>
      <c r="V42" s="398"/>
      <c r="W42" s="398"/>
      <c r="X42" s="398"/>
      <c r="Y42" s="398"/>
      <c r="Z42" s="398"/>
    </row>
    <row r="43" spans="1:26" s="378" customFormat="1" ht="27.75" customHeight="1" x14ac:dyDescent="0.25">
      <c r="A43" s="478" t="s">
        <v>1522</v>
      </c>
      <c r="B43" s="31" t="s">
        <v>297</v>
      </c>
      <c r="C43" s="23">
        <v>45924</v>
      </c>
      <c r="D43" s="119" t="s">
        <v>1427</v>
      </c>
      <c r="E43" s="119" t="s">
        <v>1394</v>
      </c>
      <c r="F43" s="119">
        <v>1</v>
      </c>
      <c r="G43" s="120">
        <v>498.8</v>
      </c>
      <c r="H43" s="120">
        <v>414</v>
      </c>
      <c r="I43" s="135" t="s">
        <v>1523</v>
      </c>
      <c r="J43" s="487" t="s">
        <v>1524</v>
      </c>
      <c r="K43" s="128" t="s">
        <v>1525</v>
      </c>
      <c r="L43" s="276" t="s">
        <v>1526</v>
      </c>
      <c r="M43" s="281" t="s">
        <v>1527</v>
      </c>
      <c r="N43" s="281" t="s">
        <v>1528</v>
      </c>
      <c r="O43" s="281" t="s">
        <v>1530</v>
      </c>
      <c r="P43" s="143" t="s">
        <v>557</v>
      </c>
      <c r="Q43" s="143" t="s">
        <v>573</v>
      </c>
      <c r="R43" s="143" t="s">
        <v>1529</v>
      </c>
      <c r="S43" s="239">
        <v>45932</v>
      </c>
      <c r="T43" s="428" t="s">
        <v>1529</v>
      </c>
      <c r="U43" s="398" t="str">
        <f t="shared" ca="1" si="4"/>
        <v>Fora da garantia</v>
      </c>
      <c r="V43" s="398"/>
      <c r="W43" s="398"/>
      <c r="X43" s="398"/>
      <c r="Y43" s="398"/>
      <c r="Z43" s="398"/>
    </row>
    <row r="44" spans="1:26" s="378" customFormat="1" ht="27.75" customHeight="1" x14ac:dyDescent="0.25">
      <c r="A44" s="478" t="s">
        <v>1517</v>
      </c>
      <c r="B44" s="31" t="s">
        <v>297</v>
      </c>
      <c r="C44" s="23">
        <v>45918</v>
      </c>
      <c r="D44" s="119" t="s">
        <v>475</v>
      </c>
      <c r="E44" s="119" t="s">
        <v>26</v>
      </c>
      <c r="F44" s="119">
        <v>1</v>
      </c>
      <c r="G44" s="120">
        <v>60.3</v>
      </c>
      <c r="H44" s="120">
        <v>43.3</v>
      </c>
      <c r="I44" s="135" t="s">
        <v>1480</v>
      </c>
      <c r="J44" s="487" t="s">
        <v>1481</v>
      </c>
      <c r="K44" s="128" t="s">
        <v>1482</v>
      </c>
      <c r="L44" s="276" t="s">
        <v>1483</v>
      </c>
      <c r="M44" s="281" t="s">
        <v>1484</v>
      </c>
      <c r="N44" s="281" t="s">
        <v>1497</v>
      </c>
      <c r="O44" s="281" t="s">
        <v>931</v>
      </c>
      <c r="P44" s="143" t="s">
        <v>490</v>
      </c>
      <c r="Q44" s="143" t="s">
        <v>570</v>
      </c>
      <c r="R44" s="143" t="s">
        <v>1518</v>
      </c>
      <c r="S44" s="239">
        <v>45922</v>
      </c>
      <c r="T44" s="428" t="s">
        <v>1544</v>
      </c>
      <c r="U44" s="398" t="str">
        <f t="shared" ca="1" si="4"/>
        <v>Fora da garantia</v>
      </c>
      <c r="V44" s="398"/>
      <c r="W44" s="398"/>
      <c r="X44" s="398"/>
      <c r="Y44" s="398"/>
      <c r="Z44" s="398"/>
    </row>
    <row r="45" spans="1:26" s="378" customFormat="1" ht="27.75" customHeight="1" x14ac:dyDescent="0.25">
      <c r="A45" s="478" t="s">
        <v>1507</v>
      </c>
      <c r="B45" s="31" t="s">
        <v>297</v>
      </c>
      <c r="C45" s="23">
        <v>45918</v>
      </c>
      <c r="D45" s="119" t="s">
        <v>1508</v>
      </c>
      <c r="E45" s="119" t="s">
        <v>103</v>
      </c>
      <c r="F45" s="119">
        <v>2</v>
      </c>
      <c r="G45" s="120">
        <v>39.99</v>
      </c>
      <c r="H45" s="120">
        <v>57.38</v>
      </c>
      <c r="I45" s="135" t="s">
        <v>1509</v>
      </c>
      <c r="J45" s="487" t="s">
        <v>1510</v>
      </c>
      <c r="K45" s="128" t="s">
        <v>1511</v>
      </c>
      <c r="L45" s="276" t="s">
        <v>1512</v>
      </c>
      <c r="M45" s="281" t="s">
        <v>1513</v>
      </c>
      <c r="N45" s="281" t="s">
        <v>498</v>
      </c>
      <c r="O45" s="281" t="s">
        <v>1514</v>
      </c>
      <c r="P45" s="143" t="s">
        <v>557</v>
      </c>
      <c r="Q45" s="143" t="s">
        <v>570</v>
      </c>
      <c r="R45" s="143" t="s">
        <v>1515</v>
      </c>
      <c r="S45" s="239">
        <v>45925</v>
      </c>
      <c r="T45" s="428" t="s">
        <v>1652</v>
      </c>
      <c r="U45" s="398" t="str">
        <f t="shared" ref="U45:U50" ca="1" si="5">IF(S45="", "", IF(TODAY() &lt;= DATE(YEAR(S45), MONTH(S45)+3, DAY(S45)), "Em garantia", "Fora da garantia"))</f>
        <v>Fora da garantia</v>
      </c>
      <c r="V45" s="398"/>
      <c r="W45" s="398"/>
      <c r="X45" s="398"/>
      <c r="Y45" s="398"/>
      <c r="Z45" s="398"/>
    </row>
    <row r="46" spans="1:26" s="378" customFormat="1" ht="27.75" customHeight="1" x14ac:dyDescent="0.25">
      <c r="A46" s="478" t="s">
        <v>1488</v>
      </c>
      <c r="B46" s="31" t="s">
        <v>297</v>
      </c>
      <c r="C46" s="23">
        <v>45916</v>
      </c>
      <c r="D46" s="119" t="s">
        <v>477</v>
      </c>
      <c r="E46" s="119" t="s">
        <v>16</v>
      </c>
      <c r="F46" s="119">
        <v>1</v>
      </c>
      <c r="G46" s="120">
        <v>630</v>
      </c>
      <c r="H46" s="120">
        <v>499.45</v>
      </c>
      <c r="I46" s="135" t="s">
        <v>1489</v>
      </c>
      <c r="J46" s="487" t="s">
        <v>1490</v>
      </c>
      <c r="K46" s="128" t="s">
        <v>1491</v>
      </c>
      <c r="L46" s="276" t="s">
        <v>1492</v>
      </c>
      <c r="M46" s="281" t="s">
        <v>1493</v>
      </c>
      <c r="N46" s="281" t="s">
        <v>1494</v>
      </c>
      <c r="O46" s="281" t="s">
        <v>1495</v>
      </c>
      <c r="P46" s="143" t="s">
        <v>795</v>
      </c>
      <c r="Q46" s="143" t="s">
        <v>570</v>
      </c>
      <c r="R46" s="143" t="s">
        <v>1496</v>
      </c>
      <c r="S46" s="239">
        <v>45924</v>
      </c>
      <c r="T46" s="428" t="s">
        <v>1532</v>
      </c>
      <c r="U46" s="398" t="str">
        <f t="shared" ca="1" si="5"/>
        <v>Fora da garantia</v>
      </c>
      <c r="V46" s="398"/>
      <c r="W46" s="398"/>
      <c r="X46" s="398"/>
      <c r="Y46" s="398"/>
      <c r="Z46" s="398"/>
    </row>
    <row r="47" spans="1:26" s="378" customFormat="1" ht="27.75" customHeight="1" x14ac:dyDescent="0.25">
      <c r="A47" s="478" t="s">
        <v>1478</v>
      </c>
      <c r="B47" s="31" t="s">
        <v>297</v>
      </c>
      <c r="C47" s="23">
        <v>45915</v>
      </c>
      <c r="D47" s="119" t="s">
        <v>475</v>
      </c>
      <c r="E47" s="119" t="s">
        <v>26</v>
      </c>
      <c r="F47" s="119">
        <v>1</v>
      </c>
      <c r="G47" s="120">
        <v>60.3</v>
      </c>
      <c r="H47" s="120">
        <v>43.3</v>
      </c>
      <c r="I47" s="135" t="s">
        <v>1480</v>
      </c>
      <c r="J47" s="487" t="s">
        <v>1481</v>
      </c>
      <c r="K47" s="128" t="s">
        <v>1482</v>
      </c>
      <c r="L47" s="276" t="s">
        <v>1483</v>
      </c>
      <c r="M47" s="281" t="s">
        <v>1484</v>
      </c>
      <c r="N47" s="281" t="s">
        <v>1497</v>
      </c>
      <c r="O47" s="281" t="s">
        <v>931</v>
      </c>
      <c r="P47" s="143" t="s">
        <v>490</v>
      </c>
      <c r="Q47" s="143" t="s">
        <v>570</v>
      </c>
      <c r="R47" s="143" t="s">
        <v>1498</v>
      </c>
      <c r="S47" s="239">
        <v>45917</v>
      </c>
      <c r="T47" s="428" t="s">
        <v>1516</v>
      </c>
      <c r="U47" s="398" t="str">
        <f t="shared" ca="1" si="5"/>
        <v>Fora da garantia</v>
      </c>
      <c r="V47" s="398"/>
      <c r="W47" s="398"/>
      <c r="X47" s="398"/>
      <c r="Y47" s="398"/>
      <c r="Z47" s="398"/>
    </row>
    <row r="48" spans="1:26" s="378" customFormat="1" ht="27.75" customHeight="1" x14ac:dyDescent="0.25">
      <c r="A48" s="478" t="s">
        <v>1466</v>
      </c>
      <c r="B48" s="31" t="s">
        <v>297</v>
      </c>
      <c r="C48" s="23">
        <v>45910</v>
      </c>
      <c r="D48" s="119" t="s">
        <v>1202</v>
      </c>
      <c r="E48" s="119" t="s">
        <v>107</v>
      </c>
      <c r="F48" s="119">
        <v>1</v>
      </c>
      <c r="G48" s="120">
        <v>414.75</v>
      </c>
      <c r="H48" s="120">
        <v>319.29000000000002</v>
      </c>
      <c r="I48" s="135"/>
      <c r="J48" s="487" t="s">
        <v>1499</v>
      </c>
      <c r="K48" s="128" t="s">
        <v>1500</v>
      </c>
      <c r="L48" s="276" t="s">
        <v>1501</v>
      </c>
      <c r="M48" s="276" t="s">
        <v>1502</v>
      </c>
      <c r="N48" s="281" t="s">
        <v>1503</v>
      </c>
      <c r="O48" s="281" t="s">
        <v>1504</v>
      </c>
      <c r="P48" s="143" t="s">
        <v>854</v>
      </c>
      <c r="Q48" s="143" t="s">
        <v>570</v>
      </c>
      <c r="R48" s="143" t="s">
        <v>1505</v>
      </c>
      <c r="S48" s="239">
        <v>45919</v>
      </c>
      <c r="T48" s="428" t="s">
        <v>1531</v>
      </c>
      <c r="U48" s="398" t="str">
        <f t="shared" ca="1" si="5"/>
        <v>Fora da garantia</v>
      </c>
      <c r="V48" s="398"/>
      <c r="W48" s="398"/>
      <c r="X48" s="398"/>
      <c r="Y48" s="398"/>
      <c r="Z48" s="398"/>
    </row>
    <row r="49" spans="1:26" s="378" customFormat="1" ht="27.75" customHeight="1" x14ac:dyDescent="0.25">
      <c r="A49" s="479" t="s">
        <v>1467</v>
      </c>
      <c r="B49" s="31" t="s">
        <v>297</v>
      </c>
      <c r="C49" s="23">
        <v>45909</v>
      </c>
      <c r="D49" s="119" t="s">
        <v>478</v>
      </c>
      <c r="E49" s="119" t="s">
        <v>116</v>
      </c>
      <c r="F49" s="119">
        <v>1</v>
      </c>
      <c r="G49" s="120">
        <v>285.99</v>
      </c>
      <c r="H49" s="120">
        <v>291.85000000000002</v>
      </c>
      <c r="I49" s="135"/>
      <c r="J49" s="500" t="s">
        <v>1471</v>
      </c>
      <c r="K49" s="128" t="s">
        <v>1472</v>
      </c>
      <c r="L49" s="501" t="s">
        <v>1473</v>
      </c>
      <c r="M49" s="498" t="s">
        <v>1474</v>
      </c>
      <c r="N49" s="499" t="s">
        <v>1475</v>
      </c>
      <c r="O49" s="499" t="s">
        <v>1476</v>
      </c>
      <c r="P49" s="128" t="s">
        <v>513</v>
      </c>
      <c r="Q49" s="128" t="s">
        <v>573</v>
      </c>
      <c r="R49" s="128" t="s">
        <v>1477</v>
      </c>
      <c r="S49" s="241">
        <v>45915</v>
      </c>
      <c r="T49" s="428" t="s">
        <v>1477</v>
      </c>
      <c r="U49" s="398" t="str">
        <f t="shared" ca="1" si="5"/>
        <v>Fora da garantia</v>
      </c>
      <c r="V49" s="398"/>
      <c r="W49" s="398"/>
      <c r="X49" s="398"/>
      <c r="Y49" s="398"/>
      <c r="Z49" s="398"/>
    </row>
    <row r="50" spans="1:26" s="378" customFormat="1" ht="27.75" customHeight="1" x14ac:dyDescent="0.25">
      <c r="A50" s="478" t="s">
        <v>1458</v>
      </c>
      <c r="B50" s="31" t="s">
        <v>297</v>
      </c>
      <c r="C50" s="23">
        <v>45906</v>
      </c>
      <c r="D50" s="119" t="s">
        <v>1459</v>
      </c>
      <c r="E50" s="119" t="s">
        <v>1440</v>
      </c>
      <c r="F50" s="119">
        <v>1</v>
      </c>
      <c r="G50" s="120">
        <v>870</v>
      </c>
      <c r="H50" s="120">
        <v>677.65</v>
      </c>
      <c r="I50" s="135"/>
      <c r="J50" s="487" t="s">
        <v>1460</v>
      </c>
      <c r="K50" s="128" t="s">
        <v>1461</v>
      </c>
      <c r="L50" s="276" t="s">
        <v>1462</v>
      </c>
      <c r="M50" s="281" t="s">
        <v>1463</v>
      </c>
      <c r="N50" s="281" t="s">
        <v>498</v>
      </c>
      <c r="O50" s="281" t="s">
        <v>1464</v>
      </c>
      <c r="P50" s="143" t="s">
        <v>854</v>
      </c>
      <c r="Q50" s="143" t="s">
        <v>570</v>
      </c>
      <c r="R50" s="143" t="s">
        <v>1465</v>
      </c>
      <c r="S50" s="239">
        <v>45917</v>
      </c>
      <c r="T50" s="427"/>
      <c r="U50" s="398" t="str">
        <f t="shared" ca="1" si="5"/>
        <v>Fora da garantia</v>
      </c>
      <c r="V50" s="398"/>
      <c r="W50" s="398"/>
      <c r="X50" s="398"/>
      <c r="Y50" s="398"/>
      <c r="Z50" s="398"/>
    </row>
    <row r="51" spans="1:26" s="378" customFormat="1" ht="27.75" customHeight="1" x14ac:dyDescent="0.25">
      <c r="A51" s="478" t="s">
        <v>1450</v>
      </c>
      <c r="B51" s="31" t="s">
        <v>297</v>
      </c>
      <c r="C51" s="23">
        <v>45898</v>
      </c>
      <c r="D51" s="119" t="s">
        <v>478</v>
      </c>
      <c r="E51" s="119" t="s">
        <v>116</v>
      </c>
      <c r="F51" s="119">
        <v>1</v>
      </c>
      <c r="G51" s="120">
        <v>285.99</v>
      </c>
      <c r="H51" s="120">
        <v>237.37</v>
      </c>
      <c r="I51" s="135" t="s">
        <v>1449</v>
      </c>
      <c r="J51" s="487" t="s">
        <v>1451</v>
      </c>
      <c r="K51" s="128" t="s">
        <v>1452</v>
      </c>
      <c r="L51" s="276" t="s">
        <v>1453</v>
      </c>
      <c r="M51" s="281" t="s">
        <v>1454</v>
      </c>
      <c r="N51" s="281" t="s">
        <v>1456</v>
      </c>
      <c r="O51" s="281" t="s">
        <v>1455</v>
      </c>
      <c r="P51" s="143" t="s">
        <v>471</v>
      </c>
      <c r="Q51" s="143" t="s">
        <v>573</v>
      </c>
      <c r="R51" s="143" t="s">
        <v>1457</v>
      </c>
      <c r="S51" s="239">
        <v>45908</v>
      </c>
      <c r="T51" s="428" t="s">
        <v>1457</v>
      </c>
      <c r="U51" s="398" t="str">
        <f t="shared" ref="U51:U57" ca="1" si="6">IF(S51="", "", IF(TODAY() &lt;= DATE(YEAR(S51), MONTH(S51)+3, DAY(S51)), "Em garantia", "Fora da garantia"))</f>
        <v>Fora da garantia</v>
      </c>
      <c r="V51" s="398"/>
      <c r="W51" s="398"/>
      <c r="X51" s="398"/>
      <c r="Y51" s="398"/>
      <c r="Z51" s="398"/>
    </row>
    <row r="52" spans="1:26" s="378" customFormat="1" ht="27.75" customHeight="1" x14ac:dyDescent="0.25">
      <c r="A52" s="478" t="s">
        <v>1442</v>
      </c>
      <c r="B52" s="31" t="s">
        <v>297</v>
      </c>
      <c r="C52" s="23">
        <v>45893</v>
      </c>
      <c r="D52" s="119" t="s">
        <v>478</v>
      </c>
      <c r="E52" s="119" t="s">
        <v>116</v>
      </c>
      <c r="F52" s="119">
        <v>1</v>
      </c>
      <c r="G52" s="120">
        <v>285.99</v>
      </c>
      <c r="H52" s="120">
        <v>237.37</v>
      </c>
      <c r="I52" s="135"/>
      <c r="J52" s="349" t="s">
        <v>1443</v>
      </c>
      <c r="K52" s="276" t="s">
        <v>1444</v>
      </c>
      <c r="L52" s="276" t="s">
        <v>1445</v>
      </c>
      <c r="M52" s="281" t="s">
        <v>1446</v>
      </c>
      <c r="N52" s="281" t="s">
        <v>498</v>
      </c>
      <c r="O52" s="276" t="s">
        <v>1447</v>
      </c>
      <c r="P52" s="143" t="s">
        <v>513</v>
      </c>
      <c r="Q52" s="143" t="s">
        <v>573</v>
      </c>
      <c r="R52" s="143" t="s">
        <v>1448</v>
      </c>
      <c r="S52" s="239">
        <v>45903</v>
      </c>
      <c r="T52" s="428" t="s">
        <v>1448</v>
      </c>
      <c r="U52" s="398" t="str">
        <f t="shared" ca="1" si="6"/>
        <v>Fora da garantia</v>
      </c>
      <c r="V52" s="398"/>
      <c r="W52" s="398"/>
      <c r="X52" s="398"/>
      <c r="Y52" s="398"/>
      <c r="Z52" s="398"/>
    </row>
    <row r="53" spans="1:26" s="378" customFormat="1" ht="27.75" customHeight="1" x14ac:dyDescent="0.25">
      <c r="A53" s="478" t="s">
        <v>1433</v>
      </c>
      <c r="B53" s="31" t="s">
        <v>297</v>
      </c>
      <c r="C53" s="23">
        <v>45886</v>
      </c>
      <c r="D53" s="119" t="s">
        <v>477</v>
      </c>
      <c r="E53" s="119" t="s">
        <v>16</v>
      </c>
      <c r="F53" s="119">
        <v>1</v>
      </c>
      <c r="G53" s="120">
        <v>700</v>
      </c>
      <c r="H53" s="120">
        <v>557.54999999999995</v>
      </c>
      <c r="I53" s="135"/>
      <c r="J53" s="349" t="s">
        <v>1434</v>
      </c>
      <c r="K53" s="276" t="s">
        <v>1435</v>
      </c>
      <c r="L53" s="276" t="s">
        <v>1436</v>
      </c>
      <c r="M53" s="281" t="s">
        <v>1437</v>
      </c>
      <c r="N53" s="281"/>
      <c r="O53" s="276" t="s">
        <v>1438</v>
      </c>
      <c r="P53" s="143" t="s">
        <v>513</v>
      </c>
      <c r="Q53" s="143" t="s">
        <v>570</v>
      </c>
      <c r="R53" s="143" t="s">
        <v>1439</v>
      </c>
      <c r="S53" s="239">
        <v>45894</v>
      </c>
      <c r="T53" s="428" t="s">
        <v>1485</v>
      </c>
      <c r="U53" s="398" t="str">
        <f t="shared" ca="1" si="6"/>
        <v>Fora da garantia</v>
      </c>
      <c r="V53" s="398"/>
      <c r="W53" s="398"/>
      <c r="X53" s="398"/>
      <c r="Y53" s="398"/>
      <c r="Z53" s="398"/>
    </row>
    <row r="54" spans="1:26" s="378" customFormat="1" ht="27.75" customHeight="1" x14ac:dyDescent="0.25">
      <c r="A54" s="478" t="s">
        <v>1426</v>
      </c>
      <c r="B54" s="31" t="s">
        <v>298</v>
      </c>
      <c r="C54" s="23">
        <v>45885</v>
      </c>
      <c r="D54" s="119" t="s">
        <v>1427</v>
      </c>
      <c r="E54" s="119" t="s">
        <v>1394</v>
      </c>
      <c r="F54" s="119">
        <v>1</v>
      </c>
      <c r="G54" s="120">
        <v>498.8</v>
      </c>
      <c r="H54" s="120">
        <v>-414</v>
      </c>
      <c r="I54" s="135"/>
      <c r="J54" s="349" t="s">
        <v>1428</v>
      </c>
      <c r="K54" s="276" t="s">
        <v>1429</v>
      </c>
      <c r="L54" s="276" t="s">
        <v>1430</v>
      </c>
      <c r="M54" s="281" t="s">
        <v>1431</v>
      </c>
      <c r="N54" s="281"/>
      <c r="O54" s="304" t="s">
        <v>1432</v>
      </c>
      <c r="P54" s="143" t="s">
        <v>795</v>
      </c>
      <c r="Q54" s="143"/>
      <c r="R54" s="143"/>
      <c r="S54" s="239"/>
      <c r="T54" s="427"/>
      <c r="U54" s="398" t="str">
        <f t="shared" ca="1" si="6"/>
        <v/>
      </c>
      <c r="V54" s="398"/>
      <c r="W54" s="398"/>
      <c r="X54" s="398"/>
      <c r="Y54" s="398"/>
      <c r="Z54" s="398"/>
    </row>
    <row r="55" spans="1:26" s="378" customFormat="1" ht="27.75" customHeight="1" x14ac:dyDescent="0.25">
      <c r="A55" s="478" t="s">
        <v>1419</v>
      </c>
      <c r="B55" s="31" t="s">
        <v>297</v>
      </c>
      <c r="C55" s="23">
        <v>45881</v>
      </c>
      <c r="D55" s="119" t="s">
        <v>477</v>
      </c>
      <c r="E55" s="119" t="s">
        <v>16</v>
      </c>
      <c r="F55" s="119">
        <v>1</v>
      </c>
      <c r="G55" s="120">
        <v>630</v>
      </c>
      <c r="H55" s="120">
        <v>499.45</v>
      </c>
      <c r="I55" s="135"/>
      <c r="J55" s="349" t="s">
        <v>1414</v>
      </c>
      <c r="K55" s="276" t="s">
        <v>1413</v>
      </c>
      <c r="L55" s="276" t="s">
        <v>1415</v>
      </c>
      <c r="M55" s="281" t="s">
        <v>1416</v>
      </c>
      <c r="N55" s="281" t="s">
        <v>1417</v>
      </c>
      <c r="O55" s="304" t="s">
        <v>1418</v>
      </c>
      <c r="P55" s="143" t="s">
        <v>513</v>
      </c>
      <c r="Q55" s="143" t="s">
        <v>570</v>
      </c>
      <c r="R55" s="143" t="s">
        <v>1424</v>
      </c>
      <c r="S55" s="239">
        <v>45883</v>
      </c>
      <c r="T55" s="428" t="s">
        <v>1425</v>
      </c>
      <c r="U55" s="398" t="str">
        <f t="shared" ca="1" si="6"/>
        <v>Fora da garantia</v>
      </c>
      <c r="V55" s="398"/>
      <c r="W55" s="398"/>
      <c r="X55" s="398"/>
      <c r="Y55" s="398"/>
      <c r="Z55" s="398"/>
    </row>
    <row r="56" spans="1:26" s="378" customFormat="1" ht="27.75" customHeight="1" x14ac:dyDescent="0.25">
      <c r="A56" s="478" t="s">
        <v>1404</v>
      </c>
      <c r="B56" s="31" t="s">
        <v>297</v>
      </c>
      <c r="C56" s="23">
        <v>45877</v>
      </c>
      <c r="D56" s="119" t="s">
        <v>1405</v>
      </c>
      <c r="E56" s="119" t="s">
        <v>86</v>
      </c>
      <c r="F56" s="119">
        <v>1</v>
      </c>
      <c r="G56" s="120">
        <v>252</v>
      </c>
      <c r="H56" s="120">
        <v>211.3</v>
      </c>
      <c r="I56" s="135" t="s">
        <v>1420</v>
      </c>
      <c r="J56" s="349" t="s">
        <v>1407</v>
      </c>
      <c r="K56" s="276" t="s">
        <v>1406</v>
      </c>
      <c r="L56" s="276" t="s">
        <v>1408</v>
      </c>
      <c r="M56" s="281" t="s">
        <v>1409</v>
      </c>
      <c r="N56" s="281"/>
      <c r="O56" s="304" t="s">
        <v>1410</v>
      </c>
      <c r="P56" s="143" t="s">
        <v>471</v>
      </c>
      <c r="Q56" s="143" t="s">
        <v>570</v>
      </c>
      <c r="R56" s="143" t="s">
        <v>1411</v>
      </c>
      <c r="S56" s="239">
        <v>45884</v>
      </c>
      <c r="T56" s="428" t="s">
        <v>1412</v>
      </c>
      <c r="U56" s="398" t="str">
        <f t="shared" ca="1" si="6"/>
        <v>Fora da garantia</v>
      </c>
      <c r="V56" s="398"/>
      <c r="W56" s="398"/>
      <c r="X56" s="398"/>
      <c r="Y56" s="398"/>
      <c r="Z56" s="398"/>
    </row>
    <row r="57" spans="1:26" s="378" customFormat="1" ht="27.75" customHeight="1" x14ac:dyDescent="0.25">
      <c r="A57" s="478" t="s">
        <v>1397</v>
      </c>
      <c r="B57" s="31" t="s">
        <v>297</v>
      </c>
      <c r="C57" s="23">
        <v>45875</v>
      </c>
      <c r="D57" s="119" t="s">
        <v>1398</v>
      </c>
      <c r="E57" s="119" t="s">
        <v>1359</v>
      </c>
      <c r="F57" s="119">
        <v>1</v>
      </c>
      <c r="G57" s="120">
        <v>124.18</v>
      </c>
      <c r="H57" s="120">
        <v>89.32</v>
      </c>
      <c r="I57" s="135"/>
      <c r="J57" s="349" t="s">
        <v>1399</v>
      </c>
      <c r="K57" s="276" t="s">
        <v>1400</v>
      </c>
      <c r="L57" s="276" t="s">
        <v>1401</v>
      </c>
      <c r="M57" s="281" t="s">
        <v>1402</v>
      </c>
      <c r="N57" s="281"/>
      <c r="O57" s="304" t="s">
        <v>1403</v>
      </c>
      <c r="P57" s="143" t="s">
        <v>519</v>
      </c>
      <c r="Q57" s="143" t="s">
        <v>570</v>
      </c>
      <c r="R57" s="143" t="s">
        <v>1487</v>
      </c>
      <c r="S57" s="239">
        <v>45888</v>
      </c>
      <c r="T57" s="428" t="s">
        <v>1486</v>
      </c>
      <c r="U57" s="398" t="str">
        <f t="shared" ca="1" si="6"/>
        <v>Fora da garantia</v>
      </c>
      <c r="V57" s="398"/>
      <c r="W57" s="398"/>
      <c r="X57" s="398"/>
      <c r="Y57" s="398"/>
      <c r="Z57" s="398"/>
    </row>
    <row r="58" spans="1:26" s="378" customFormat="1" ht="27.75" customHeight="1" x14ac:dyDescent="0.25">
      <c r="A58" s="478" t="s">
        <v>1383</v>
      </c>
      <c r="B58" s="31" t="s">
        <v>297</v>
      </c>
      <c r="C58" s="23">
        <v>45869</v>
      </c>
      <c r="D58" s="119" t="s">
        <v>1384</v>
      </c>
      <c r="E58" s="119" t="s">
        <v>1227</v>
      </c>
      <c r="F58" s="119">
        <v>1</v>
      </c>
      <c r="G58" s="120">
        <v>528</v>
      </c>
      <c r="H58" s="120">
        <v>413.29</v>
      </c>
      <c r="I58" s="135"/>
      <c r="J58" s="349" t="s">
        <v>1385</v>
      </c>
      <c r="K58" s="276" t="s">
        <v>1386</v>
      </c>
      <c r="L58" s="276" t="s">
        <v>1387</v>
      </c>
      <c r="M58" s="281" t="s">
        <v>1388</v>
      </c>
      <c r="N58" s="281" t="s">
        <v>1389</v>
      </c>
      <c r="O58" s="304" t="s">
        <v>1390</v>
      </c>
      <c r="P58" s="143" t="s">
        <v>795</v>
      </c>
      <c r="Q58" s="143" t="s">
        <v>570</v>
      </c>
      <c r="R58" s="143" t="s">
        <v>1391</v>
      </c>
      <c r="S58" s="239">
        <v>45889</v>
      </c>
      <c r="T58" s="428" t="s">
        <v>1506</v>
      </c>
      <c r="U58" s="398" t="str">
        <f ca="1">IF(S58="", "", IF(TODAY() &lt;= DATE(YEAR(S58), MONTH(S58)+3, DAY(S58)), "Em garantia", "Fora da garantia"))</f>
        <v>Fora da garantia</v>
      </c>
      <c r="V58" s="398"/>
      <c r="W58" s="398"/>
      <c r="X58" s="398"/>
      <c r="Y58" s="398"/>
      <c r="Z58" s="398"/>
    </row>
    <row r="59" spans="1:26" s="378" customFormat="1" ht="27.75" customHeight="1" x14ac:dyDescent="0.25">
      <c r="A59" s="478" t="s">
        <v>1372</v>
      </c>
      <c r="B59" s="31" t="s">
        <v>297</v>
      </c>
      <c r="C59" s="23">
        <v>45862</v>
      </c>
      <c r="D59" s="119" t="s">
        <v>478</v>
      </c>
      <c r="E59" s="119" t="s">
        <v>116</v>
      </c>
      <c r="F59" s="119">
        <v>1</v>
      </c>
      <c r="G59" s="120">
        <v>285.99</v>
      </c>
      <c r="H59" s="120">
        <v>299.45</v>
      </c>
      <c r="I59" s="135" t="s">
        <v>1373</v>
      </c>
      <c r="J59" s="349" t="s">
        <v>1374</v>
      </c>
      <c r="K59" s="276" t="s">
        <v>1375</v>
      </c>
      <c r="L59" s="276" t="s">
        <v>1376</v>
      </c>
      <c r="M59" s="281" t="s">
        <v>1377</v>
      </c>
      <c r="N59" s="281" t="s">
        <v>1378</v>
      </c>
      <c r="O59" s="304" t="s">
        <v>1379</v>
      </c>
      <c r="P59" s="143" t="s">
        <v>854</v>
      </c>
      <c r="Q59" s="143" t="s">
        <v>573</v>
      </c>
      <c r="R59" s="143" t="s">
        <v>1380</v>
      </c>
      <c r="S59" s="239">
        <v>45875</v>
      </c>
      <c r="T59" s="428" t="s">
        <v>1380</v>
      </c>
      <c r="U59" s="398" t="str">
        <f ca="1">IF(S59="", "", IF(TODAY() &lt;= DATE(YEAR(S59), MONTH(S59)+3, DAY(S59)), "Em garantia", "Fora da garantia"))</f>
        <v>Fora da garantia</v>
      </c>
      <c r="V59" s="398"/>
      <c r="W59" s="398"/>
      <c r="X59" s="398"/>
      <c r="Y59" s="398"/>
      <c r="Z59" s="398"/>
    </row>
    <row r="60" spans="1:26" s="378" customFormat="1" ht="27.75" customHeight="1" x14ac:dyDescent="0.25">
      <c r="A60" s="478" t="s">
        <v>1363</v>
      </c>
      <c r="B60" s="31" t="s">
        <v>298</v>
      </c>
      <c r="C60" s="23">
        <v>45854</v>
      </c>
      <c r="D60" s="119" t="s">
        <v>478</v>
      </c>
      <c r="E60" s="119" t="s">
        <v>116</v>
      </c>
      <c r="F60" s="119">
        <v>1</v>
      </c>
      <c r="G60" s="120">
        <v>258.99</v>
      </c>
      <c r="H60" s="120">
        <v>-237.37</v>
      </c>
      <c r="I60" s="135" t="s">
        <v>1364</v>
      </c>
      <c r="J60" s="349" t="s">
        <v>1365</v>
      </c>
      <c r="K60" s="276" t="s">
        <v>1366</v>
      </c>
      <c r="L60" s="276" t="s">
        <v>1367</v>
      </c>
      <c r="M60" s="281" t="s">
        <v>1368</v>
      </c>
      <c r="N60" s="281"/>
      <c r="O60" s="304" t="s">
        <v>1369</v>
      </c>
      <c r="P60" s="143" t="s">
        <v>513</v>
      </c>
      <c r="Q60" s="143"/>
      <c r="R60" s="143"/>
      <c r="S60" s="239"/>
      <c r="T60" s="427"/>
      <c r="U60" s="398" t="str">
        <f ca="1">IF(S60="", "", IF(TODAY() &lt;= DATE(YEAR(S60), MONTH(S60)+3, DAY(S60)), "Em garantia", "Fora da garantia"))</f>
        <v/>
      </c>
      <c r="V60" s="398"/>
      <c r="W60" s="398"/>
      <c r="X60" s="398"/>
      <c r="Y60" s="398"/>
      <c r="Z60" s="398"/>
    </row>
    <row r="61" spans="1:26" s="378" customFormat="1" ht="27.75" customHeight="1" x14ac:dyDescent="0.25">
      <c r="A61" s="478" t="s">
        <v>1352</v>
      </c>
      <c r="B61" s="31" t="s">
        <v>297</v>
      </c>
      <c r="C61" s="23">
        <v>45846</v>
      </c>
      <c r="D61" s="119" t="s">
        <v>475</v>
      </c>
      <c r="E61" s="119" t="s">
        <v>26</v>
      </c>
      <c r="F61" s="119">
        <v>1</v>
      </c>
      <c r="G61" s="120">
        <v>60.3</v>
      </c>
      <c r="H61" s="120">
        <v>44.64</v>
      </c>
      <c r="I61" s="135" t="s">
        <v>1353</v>
      </c>
      <c r="J61" s="349" t="s">
        <v>1362</v>
      </c>
      <c r="K61" s="276" t="s">
        <v>1354</v>
      </c>
      <c r="L61" s="276" t="s">
        <v>1355</v>
      </c>
      <c r="M61" s="281" t="s">
        <v>1356</v>
      </c>
      <c r="N61" s="281" t="s">
        <v>498</v>
      </c>
      <c r="O61" s="304" t="s">
        <v>1357</v>
      </c>
      <c r="P61" s="143" t="s">
        <v>854</v>
      </c>
      <c r="Q61" s="143" t="s">
        <v>570</v>
      </c>
      <c r="R61" s="143" t="s">
        <v>1358</v>
      </c>
      <c r="S61" s="239">
        <v>45853</v>
      </c>
      <c r="T61" s="428" t="s">
        <v>1381</v>
      </c>
      <c r="U61" s="398" t="str">
        <f ca="1">IF(S61="", "", IF(TODAY() &lt;= DATE(YEAR(S61), MONTH(S61)+3, DAY(S61)), "Em garantia", "Fora da garantia"))</f>
        <v>Fora da garantia</v>
      </c>
      <c r="V61" s="398"/>
      <c r="W61" s="398"/>
      <c r="X61" s="398"/>
      <c r="Y61" s="398"/>
      <c r="Z61" s="398"/>
    </row>
    <row r="62" spans="1:26" s="378" customFormat="1" ht="27.75" customHeight="1" x14ac:dyDescent="0.25">
      <c r="A62" s="478" t="s">
        <v>1336</v>
      </c>
      <c r="B62" s="31" t="s">
        <v>297</v>
      </c>
      <c r="C62" s="23">
        <v>45843</v>
      </c>
      <c r="D62" s="119" t="s">
        <v>478</v>
      </c>
      <c r="E62" s="119" t="s">
        <v>116</v>
      </c>
      <c r="F62" s="119">
        <v>1</v>
      </c>
      <c r="G62" s="120">
        <v>285.99</v>
      </c>
      <c r="H62" s="120">
        <v>237.37</v>
      </c>
      <c r="I62" s="135" t="s">
        <v>1270</v>
      </c>
      <c r="J62" s="349" t="s">
        <v>1337</v>
      </c>
      <c r="K62" s="276" t="s">
        <v>1338</v>
      </c>
      <c r="L62" s="276" t="s">
        <v>1339</v>
      </c>
      <c r="M62" s="281" t="s">
        <v>1340</v>
      </c>
      <c r="N62" s="281" t="s">
        <v>1344</v>
      </c>
      <c r="O62" s="304" t="s">
        <v>1341</v>
      </c>
      <c r="P62" s="143" t="s">
        <v>471</v>
      </c>
      <c r="Q62" s="143" t="s">
        <v>573</v>
      </c>
      <c r="R62" s="143" t="s">
        <v>1346</v>
      </c>
      <c r="S62" s="239">
        <v>45852</v>
      </c>
      <c r="T62" s="428" t="s">
        <v>1346</v>
      </c>
      <c r="U62" s="398" t="str">
        <f ca="1">IF(S62="", "", IF(TODAY() &lt;= DATE(YEAR(S62), MONTH(S62)+3, DAY(S62)), "Em garantia", "Fora da garantia"))</f>
        <v>Fora da garantia</v>
      </c>
      <c r="V62" s="398"/>
      <c r="W62" s="398"/>
      <c r="X62" s="398"/>
      <c r="Y62" s="398"/>
      <c r="Z62" s="398"/>
    </row>
    <row r="63" spans="1:26" s="378" customFormat="1" ht="27.75" customHeight="1" x14ac:dyDescent="0.25">
      <c r="A63" s="478" t="s">
        <v>1323</v>
      </c>
      <c r="B63" s="31" t="s">
        <v>297</v>
      </c>
      <c r="C63" s="23">
        <v>45840</v>
      </c>
      <c r="D63" s="119" t="s">
        <v>478</v>
      </c>
      <c r="E63" s="119" t="s">
        <v>116</v>
      </c>
      <c r="F63" s="119">
        <v>1</v>
      </c>
      <c r="G63" s="120">
        <v>285.99</v>
      </c>
      <c r="H63" s="120">
        <v>237.37</v>
      </c>
      <c r="I63" s="135" t="s">
        <v>1270</v>
      </c>
      <c r="J63" s="349" t="s">
        <v>1324</v>
      </c>
      <c r="K63" s="276" t="s">
        <v>1325</v>
      </c>
      <c r="L63" s="276" t="s">
        <v>1326</v>
      </c>
      <c r="M63" s="281" t="s">
        <v>1327</v>
      </c>
      <c r="N63" s="276" t="s">
        <v>1345</v>
      </c>
      <c r="O63" s="304" t="s">
        <v>1328</v>
      </c>
      <c r="P63" s="143" t="s">
        <v>471</v>
      </c>
      <c r="Q63" s="143" t="s">
        <v>573</v>
      </c>
      <c r="R63" s="143" t="s">
        <v>1334</v>
      </c>
      <c r="S63" s="239">
        <v>45848</v>
      </c>
      <c r="T63" s="428" t="s">
        <v>1334</v>
      </c>
      <c r="U63" s="398" t="str">
        <f t="shared" ref="U63:U126" ca="1" si="7">IF(S63="", "", IF(TODAY() &lt;= DATE(YEAR(S63), MONTH(S63)+3, DAY(S63)), "Em garantia", "Fora da garantia"))</f>
        <v>Fora da garantia</v>
      </c>
      <c r="V63" s="398"/>
      <c r="W63" s="398"/>
      <c r="X63" s="398"/>
      <c r="Y63" s="398"/>
      <c r="Z63" s="398"/>
    </row>
    <row r="64" spans="1:26" s="378" customFormat="1" ht="27.75" customHeight="1" x14ac:dyDescent="0.25">
      <c r="A64" s="478" t="s">
        <v>1311</v>
      </c>
      <c r="B64" s="31" t="s">
        <v>297</v>
      </c>
      <c r="C64" s="23">
        <v>45838</v>
      </c>
      <c r="D64" s="119" t="s">
        <v>1313</v>
      </c>
      <c r="E64" s="119" t="s">
        <v>1232</v>
      </c>
      <c r="F64" s="119">
        <v>1</v>
      </c>
      <c r="G64" s="120">
        <v>1500</v>
      </c>
      <c r="H64" s="120">
        <v>1289.45</v>
      </c>
      <c r="I64" s="135" t="s">
        <v>1315</v>
      </c>
      <c r="J64" s="349" t="s">
        <v>1316</v>
      </c>
      <c r="K64" s="276" t="s">
        <v>1317</v>
      </c>
      <c r="L64" s="276" t="s">
        <v>1318</v>
      </c>
      <c r="M64" s="281" t="s">
        <v>1319</v>
      </c>
      <c r="N64" s="276" t="s">
        <v>1320</v>
      </c>
      <c r="O64" s="304" t="s">
        <v>1321</v>
      </c>
      <c r="P64" s="143" t="s">
        <v>677</v>
      </c>
      <c r="Q64" s="143" t="s">
        <v>573</v>
      </c>
      <c r="R64" s="143" t="s">
        <v>1314</v>
      </c>
      <c r="S64" s="239">
        <v>45845</v>
      </c>
      <c r="T64" s="428" t="s">
        <v>1314</v>
      </c>
      <c r="U64" s="398" t="str">
        <f t="shared" ca="1" si="7"/>
        <v>Fora da garantia</v>
      </c>
      <c r="V64" s="398"/>
      <c r="W64" s="398"/>
      <c r="X64" s="398"/>
      <c r="Y64" s="398"/>
      <c r="Z64" s="398"/>
    </row>
    <row r="65" spans="1:26" s="378" customFormat="1" ht="27.75" customHeight="1" x14ac:dyDescent="0.25">
      <c r="A65" s="478" t="s">
        <v>1278</v>
      </c>
      <c r="B65" s="31" t="s">
        <v>297</v>
      </c>
      <c r="C65" s="23">
        <v>45828</v>
      </c>
      <c r="D65" s="119" t="s">
        <v>1279</v>
      </c>
      <c r="E65" s="119" t="s">
        <v>8</v>
      </c>
      <c r="F65" s="119">
        <v>1</v>
      </c>
      <c r="G65" s="120">
        <v>168</v>
      </c>
      <c r="H65" s="120">
        <v>126.74</v>
      </c>
      <c r="I65" s="135"/>
      <c r="J65" s="349" t="s">
        <v>1280</v>
      </c>
      <c r="K65" s="276" t="s">
        <v>1281</v>
      </c>
      <c r="L65" s="276" t="s">
        <v>1282</v>
      </c>
      <c r="M65" s="281" t="s">
        <v>1347</v>
      </c>
      <c r="N65" s="276" t="s">
        <v>1283</v>
      </c>
      <c r="O65" s="304" t="s">
        <v>494</v>
      </c>
      <c r="P65" s="143" t="s">
        <v>471</v>
      </c>
      <c r="Q65" s="143" t="s">
        <v>570</v>
      </c>
      <c r="R65" s="143" t="s">
        <v>1312</v>
      </c>
      <c r="S65" s="239">
        <v>45842</v>
      </c>
      <c r="T65" s="428" t="s">
        <v>1348</v>
      </c>
      <c r="U65" s="398" t="str">
        <f t="shared" ca="1" si="7"/>
        <v>Fora da garantia</v>
      </c>
      <c r="V65" s="398"/>
      <c r="W65" s="398"/>
      <c r="X65" s="398"/>
      <c r="Y65" s="398"/>
      <c r="Z65" s="398"/>
    </row>
    <row r="66" spans="1:26" s="378" customFormat="1" ht="27.75" customHeight="1" x14ac:dyDescent="0.25">
      <c r="A66" s="478" t="s">
        <v>1269</v>
      </c>
      <c r="B66" s="31" t="s">
        <v>297</v>
      </c>
      <c r="C66" s="23">
        <v>45820</v>
      </c>
      <c r="D66" s="119" t="s">
        <v>478</v>
      </c>
      <c r="E66" s="119" t="s">
        <v>116</v>
      </c>
      <c r="F66" s="119">
        <v>1</v>
      </c>
      <c r="G66" s="120">
        <v>285.99</v>
      </c>
      <c r="H66" s="120">
        <v>237.37</v>
      </c>
      <c r="I66" s="135" t="s">
        <v>1270</v>
      </c>
      <c r="J66" s="349" t="s">
        <v>1271</v>
      </c>
      <c r="K66" s="276" t="s">
        <v>1272</v>
      </c>
      <c r="L66" s="276" t="s">
        <v>1273</v>
      </c>
      <c r="M66" s="281" t="s">
        <v>1274</v>
      </c>
      <c r="N66" s="276" t="s">
        <v>1275</v>
      </c>
      <c r="O66" s="304" t="s">
        <v>1276</v>
      </c>
      <c r="P66" s="143" t="s">
        <v>677</v>
      </c>
      <c r="Q66" s="143" t="s">
        <v>573</v>
      </c>
      <c r="R66" s="143" t="s">
        <v>1277</v>
      </c>
      <c r="S66" s="239">
        <v>45825</v>
      </c>
      <c r="T66" s="428" t="s">
        <v>1277</v>
      </c>
      <c r="U66" s="398" t="str">
        <f t="shared" ca="1" si="7"/>
        <v>Fora da garantia</v>
      </c>
      <c r="V66" s="398"/>
      <c r="W66" s="398"/>
      <c r="X66" s="398"/>
      <c r="Y66" s="398"/>
      <c r="Z66" s="398"/>
    </row>
    <row r="67" spans="1:26" s="378" customFormat="1" ht="27.75" customHeight="1" x14ac:dyDescent="0.25">
      <c r="A67" s="478" t="s">
        <v>1262</v>
      </c>
      <c r="B67" s="31" t="s">
        <v>298</v>
      </c>
      <c r="C67" s="23">
        <v>45807</v>
      </c>
      <c r="D67" s="119" t="s">
        <v>1202</v>
      </c>
      <c r="E67" s="119"/>
      <c r="F67" s="119">
        <v>1</v>
      </c>
      <c r="G67" s="120">
        <v>414.75</v>
      </c>
      <c r="H67" s="120">
        <v>-321.79000000000002</v>
      </c>
      <c r="I67" s="135" t="s">
        <v>1263</v>
      </c>
      <c r="J67" s="349" t="s">
        <v>1264</v>
      </c>
      <c r="K67" s="276" t="s">
        <v>1265</v>
      </c>
      <c r="L67" s="276" t="s">
        <v>1266</v>
      </c>
      <c r="M67" s="281" t="s">
        <v>1267</v>
      </c>
      <c r="N67" s="276" t="s">
        <v>1071</v>
      </c>
      <c r="O67" s="304" t="s">
        <v>1268</v>
      </c>
      <c r="P67" s="143" t="s">
        <v>513</v>
      </c>
      <c r="Q67" s="143"/>
      <c r="R67" s="143"/>
      <c r="S67" s="239"/>
      <c r="T67" s="427"/>
      <c r="U67" s="398" t="str">
        <f t="shared" ca="1" si="7"/>
        <v/>
      </c>
      <c r="V67" s="398"/>
      <c r="W67" s="398"/>
      <c r="X67" s="398"/>
      <c r="Y67" s="398"/>
      <c r="Z67" s="398"/>
    </row>
    <row r="68" spans="1:26" s="378" customFormat="1" ht="27.75" customHeight="1" x14ac:dyDescent="0.25">
      <c r="A68" s="478" t="s">
        <v>1256</v>
      </c>
      <c r="B68" s="31" t="s">
        <v>297</v>
      </c>
      <c r="C68" s="23">
        <v>45796</v>
      </c>
      <c r="D68" s="119" t="s">
        <v>475</v>
      </c>
      <c r="E68" s="24" t="s">
        <v>26</v>
      </c>
      <c r="F68" s="119">
        <v>4</v>
      </c>
      <c r="G68" s="120">
        <v>241.2</v>
      </c>
      <c r="H68" s="120">
        <v>178.56</v>
      </c>
      <c r="I68" s="135"/>
      <c r="J68" s="275" t="s">
        <v>1329</v>
      </c>
      <c r="K68" s="276" t="s">
        <v>1255</v>
      </c>
      <c r="L68" s="276" t="s">
        <v>1257</v>
      </c>
      <c r="M68" s="281" t="s">
        <v>1258</v>
      </c>
      <c r="N68" s="276" t="s">
        <v>1259</v>
      </c>
      <c r="O68" s="304" t="s">
        <v>1260</v>
      </c>
      <c r="P68" s="143" t="s">
        <v>513</v>
      </c>
      <c r="Q68" s="143" t="s">
        <v>570</v>
      </c>
      <c r="R68" s="143" t="s">
        <v>1322</v>
      </c>
      <c r="S68" s="239">
        <v>45820</v>
      </c>
      <c r="T68" s="428" t="s">
        <v>1382</v>
      </c>
      <c r="U68" s="398" t="str">
        <f t="shared" ca="1" si="7"/>
        <v>Fora da garantia</v>
      </c>
      <c r="V68" s="398"/>
      <c r="W68" s="398"/>
      <c r="X68" s="398"/>
      <c r="Y68" s="398"/>
      <c r="Z68" s="398"/>
    </row>
    <row r="69" spans="1:26" s="378" customFormat="1" ht="27.75" customHeight="1" x14ac:dyDescent="0.25">
      <c r="A69" s="478" t="s">
        <v>1246</v>
      </c>
      <c r="B69" s="31" t="s">
        <v>297</v>
      </c>
      <c r="C69" s="23">
        <v>45793</v>
      </c>
      <c r="D69" s="119" t="s">
        <v>1247</v>
      </c>
      <c r="E69" s="119" t="s">
        <v>1192</v>
      </c>
      <c r="F69" s="119">
        <v>1</v>
      </c>
      <c r="G69" s="120">
        <v>999</v>
      </c>
      <c r="H69" s="120">
        <v>829.17</v>
      </c>
      <c r="I69" s="135" t="s">
        <v>1248</v>
      </c>
      <c r="J69" s="275" t="s">
        <v>1249</v>
      </c>
      <c r="K69" s="276" t="s">
        <v>1250</v>
      </c>
      <c r="L69" s="276" t="s">
        <v>1251</v>
      </c>
      <c r="M69" s="281" t="s">
        <v>1252</v>
      </c>
      <c r="N69" s="276" t="s">
        <v>1253</v>
      </c>
      <c r="O69" s="304" t="s">
        <v>1254</v>
      </c>
      <c r="P69" s="143" t="s">
        <v>513</v>
      </c>
      <c r="Q69" s="143" t="s">
        <v>573</v>
      </c>
      <c r="R69" s="143" t="s">
        <v>1343</v>
      </c>
      <c r="S69" s="239">
        <v>45798</v>
      </c>
      <c r="T69" s="427" t="s">
        <v>1343</v>
      </c>
      <c r="U69" s="398" t="str">
        <f t="shared" ca="1" si="7"/>
        <v>Fora da garantia</v>
      </c>
      <c r="V69" s="398"/>
      <c r="W69" s="398"/>
      <c r="X69" s="398"/>
      <c r="Y69" s="398"/>
      <c r="Z69" s="398"/>
    </row>
    <row r="70" spans="1:26" s="378" customFormat="1" ht="27.75" customHeight="1" x14ac:dyDescent="0.25">
      <c r="A70" s="478" t="s">
        <v>1218</v>
      </c>
      <c r="B70" s="31" t="s">
        <v>297</v>
      </c>
      <c r="C70" s="23">
        <v>45771</v>
      </c>
      <c r="D70" s="119" t="s">
        <v>1219</v>
      </c>
      <c r="E70" s="119" t="s">
        <v>18</v>
      </c>
      <c r="F70" s="119">
        <v>1</v>
      </c>
      <c r="G70" s="120">
        <v>697</v>
      </c>
      <c r="H70" s="120">
        <v>555.05999999999995</v>
      </c>
      <c r="I70" s="135"/>
      <c r="J70" s="275" t="s">
        <v>1231</v>
      </c>
      <c r="K70" s="276" t="s">
        <v>1220</v>
      </c>
      <c r="L70" s="276" t="s">
        <v>1221</v>
      </c>
      <c r="M70" s="281" t="s">
        <v>1222</v>
      </c>
      <c r="N70" s="276" t="s">
        <v>1223</v>
      </c>
      <c r="O70" s="304" t="s">
        <v>1224</v>
      </c>
      <c r="P70" s="143" t="s">
        <v>519</v>
      </c>
      <c r="Q70" s="143" t="s">
        <v>570</v>
      </c>
      <c r="R70" s="143" t="s">
        <v>1226</v>
      </c>
      <c r="S70" s="239">
        <v>45783</v>
      </c>
      <c r="T70" s="427" t="s">
        <v>1261</v>
      </c>
      <c r="U70" s="398" t="str">
        <f t="shared" ca="1" si="7"/>
        <v>Fora da garantia</v>
      </c>
      <c r="V70" s="398"/>
      <c r="W70" s="398"/>
      <c r="X70" s="398"/>
      <c r="Y70" s="398"/>
      <c r="Z70" s="398"/>
    </row>
    <row r="71" spans="1:26" s="378" customFormat="1" ht="27.75" customHeight="1" x14ac:dyDescent="0.25">
      <c r="A71" s="478" t="s">
        <v>1209</v>
      </c>
      <c r="B71" s="31" t="s">
        <v>297</v>
      </c>
      <c r="C71" s="23">
        <v>45764</v>
      </c>
      <c r="D71" s="119" t="s">
        <v>475</v>
      </c>
      <c r="E71" s="119" t="s">
        <v>26</v>
      </c>
      <c r="F71" s="119">
        <v>2</v>
      </c>
      <c r="G71" s="120">
        <v>120.6</v>
      </c>
      <c r="H71" s="120">
        <v>89.28</v>
      </c>
      <c r="I71" s="135"/>
      <c r="J71" s="275" t="s">
        <v>1210</v>
      </c>
      <c r="K71" s="276" t="s">
        <v>1211</v>
      </c>
      <c r="L71" s="276" t="s">
        <v>1212</v>
      </c>
      <c r="M71" s="281" t="s">
        <v>1213</v>
      </c>
      <c r="N71" s="276" t="s">
        <v>1214</v>
      </c>
      <c r="O71" s="304" t="s">
        <v>947</v>
      </c>
      <c r="P71" s="143" t="s">
        <v>557</v>
      </c>
      <c r="Q71" s="143" t="s">
        <v>570</v>
      </c>
      <c r="R71" s="143" t="s">
        <v>1217</v>
      </c>
      <c r="S71" s="239">
        <v>45775</v>
      </c>
      <c r="T71" s="427" t="s">
        <v>1225</v>
      </c>
      <c r="U71" s="398" t="str">
        <f t="shared" ca="1" si="7"/>
        <v>Fora da garantia</v>
      </c>
      <c r="V71" s="398"/>
      <c r="W71" s="398"/>
      <c r="X71" s="398"/>
      <c r="Y71" s="398"/>
      <c r="Z71" s="398"/>
    </row>
    <row r="72" spans="1:26" s="378" customFormat="1" ht="27.75" customHeight="1" x14ac:dyDescent="0.25">
      <c r="A72" s="478" t="s">
        <v>1201</v>
      </c>
      <c r="B72" s="31" t="s">
        <v>297</v>
      </c>
      <c r="C72" s="23">
        <v>45762</v>
      </c>
      <c r="D72" s="119" t="s">
        <v>1202</v>
      </c>
      <c r="E72" s="119" t="s">
        <v>107</v>
      </c>
      <c r="F72" s="119">
        <v>1</v>
      </c>
      <c r="G72" s="120">
        <v>414.75</v>
      </c>
      <c r="H72" s="120">
        <v>321.79000000000002</v>
      </c>
      <c r="I72" s="135"/>
      <c r="J72" s="275" t="s">
        <v>1203</v>
      </c>
      <c r="K72" s="276" t="s">
        <v>1204</v>
      </c>
      <c r="L72" s="276" t="s">
        <v>1205</v>
      </c>
      <c r="M72" s="281" t="s">
        <v>1215</v>
      </c>
      <c r="N72" s="276" t="s">
        <v>498</v>
      </c>
      <c r="O72" s="304" t="s">
        <v>1206</v>
      </c>
      <c r="P72" s="143" t="s">
        <v>854</v>
      </c>
      <c r="Q72" s="143" t="s">
        <v>570</v>
      </c>
      <c r="R72" s="143" t="s">
        <v>1207</v>
      </c>
      <c r="S72" s="239">
        <v>45770</v>
      </c>
      <c r="T72" s="427" t="s">
        <v>1216</v>
      </c>
      <c r="U72" s="398" t="str">
        <f t="shared" ca="1" si="7"/>
        <v>Fora da garantia</v>
      </c>
      <c r="V72" s="398"/>
      <c r="W72" s="398"/>
      <c r="X72" s="398"/>
      <c r="Y72" s="398"/>
      <c r="Z72" s="398"/>
    </row>
    <row r="73" spans="1:26" s="378" customFormat="1" ht="27.75" customHeight="1" x14ac:dyDescent="0.25">
      <c r="A73" s="478" t="s">
        <v>1182</v>
      </c>
      <c r="B73" s="31" t="s">
        <v>297</v>
      </c>
      <c r="C73" s="23">
        <v>45761</v>
      </c>
      <c r="D73" s="119" t="s">
        <v>1183</v>
      </c>
      <c r="E73" s="119" t="s">
        <v>455</v>
      </c>
      <c r="F73" s="119">
        <v>1</v>
      </c>
      <c r="G73" s="120">
        <v>499.99</v>
      </c>
      <c r="H73" s="120">
        <v>391.54</v>
      </c>
      <c r="I73" s="135"/>
      <c r="J73" s="275" t="s">
        <v>1184</v>
      </c>
      <c r="K73" s="276" t="s">
        <v>1185</v>
      </c>
      <c r="L73" s="276" t="s">
        <v>1186</v>
      </c>
      <c r="M73" s="276" t="s">
        <v>1198</v>
      </c>
      <c r="N73" s="276" t="s">
        <v>1187</v>
      </c>
      <c r="O73" s="276" t="s">
        <v>1200</v>
      </c>
      <c r="P73" s="143" t="s">
        <v>735</v>
      </c>
      <c r="Q73" s="143" t="s">
        <v>570</v>
      </c>
      <c r="R73" s="143" t="s">
        <v>1188</v>
      </c>
      <c r="S73" s="239">
        <v>45779</v>
      </c>
      <c r="T73" s="427" t="s">
        <v>1208</v>
      </c>
      <c r="U73" s="398" t="str">
        <f t="shared" ca="1" si="7"/>
        <v>Fora da garantia</v>
      </c>
      <c r="V73" s="398"/>
      <c r="W73" s="398"/>
      <c r="X73" s="398"/>
      <c r="Y73" s="398"/>
      <c r="Z73" s="398"/>
    </row>
    <row r="74" spans="1:26" s="378" customFormat="1" ht="27.75" customHeight="1" x14ac:dyDescent="0.25">
      <c r="A74" s="478" t="s">
        <v>1068</v>
      </c>
      <c r="B74" s="31" t="s">
        <v>298</v>
      </c>
      <c r="C74" s="23">
        <v>45751</v>
      </c>
      <c r="D74" s="119" t="s">
        <v>478</v>
      </c>
      <c r="E74" s="119"/>
      <c r="F74" s="119">
        <v>1</v>
      </c>
      <c r="G74" s="120">
        <v>285.99</v>
      </c>
      <c r="H74" s="120">
        <v>-237.37</v>
      </c>
      <c r="I74" s="135" t="s">
        <v>1181</v>
      </c>
      <c r="J74" s="275" t="s">
        <v>1067</v>
      </c>
      <c r="K74" s="276" t="s">
        <v>1069</v>
      </c>
      <c r="L74" s="276" t="s">
        <v>1070</v>
      </c>
      <c r="M74" s="276" t="s">
        <v>1180</v>
      </c>
      <c r="N74" s="283" t="s">
        <v>1071</v>
      </c>
      <c r="O74" s="143" t="s">
        <v>1072</v>
      </c>
      <c r="P74" s="143" t="s">
        <v>471</v>
      </c>
      <c r="Q74" s="126"/>
      <c r="R74" s="143"/>
      <c r="S74" s="239"/>
      <c r="T74" s="427"/>
      <c r="U74" s="398" t="str">
        <f t="shared" ca="1" si="7"/>
        <v/>
      </c>
      <c r="V74" s="398"/>
      <c r="W74" s="398"/>
      <c r="X74" s="398"/>
      <c r="Y74" s="398"/>
      <c r="Z74" s="398"/>
    </row>
    <row r="75" spans="1:26" s="378" customFormat="1" ht="27.75" customHeight="1" x14ac:dyDescent="0.25">
      <c r="A75" s="478" t="s">
        <v>637</v>
      </c>
      <c r="B75" s="31" t="s">
        <v>297</v>
      </c>
      <c r="C75" s="23">
        <v>45747</v>
      </c>
      <c r="D75" s="119" t="s">
        <v>638</v>
      </c>
      <c r="E75" s="119" t="s">
        <v>8</v>
      </c>
      <c r="F75" s="119">
        <v>1</v>
      </c>
      <c r="G75" s="120">
        <v>2280</v>
      </c>
      <c r="H75" s="120">
        <v>1865.45</v>
      </c>
      <c r="I75" s="135"/>
      <c r="J75" s="275" t="s">
        <v>639</v>
      </c>
      <c r="K75" s="276" t="s">
        <v>640</v>
      </c>
      <c r="L75" s="276" t="s">
        <v>641</v>
      </c>
      <c r="M75" s="143" t="s">
        <v>642</v>
      </c>
      <c r="N75" s="143" t="s">
        <v>643</v>
      </c>
      <c r="O75" s="143" t="s">
        <v>644</v>
      </c>
      <c r="P75" s="143" t="s">
        <v>490</v>
      </c>
      <c r="Q75" s="143" t="s">
        <v>570</v>
      </c>
      <c r="R75" s="143" t="s">
        <v>646</v>
      </c>
      <c r="S75" s="239">
        <v>45749</v>
      </c>
      <c r="T75" s="427">
        <v>10873</v>
      </c>
      <c r="U75" s="398" t="str">
        <f t="shared" ca="1" si="7"/>
        <v>Fora da garantia</v>
      </c>
      <c r="V75" s="398"/>
      <c r="W75" s="398"/>
      <c r="X75" s="398"/>
      <c r="Y75" s="398"/>
      <c r="Z75" s="398"/>
    </row>
    <row r="76" spans="1:26" s="378" customFormat="1" ht="27.75" customHeight="1" x14ac:dyDescent="0.25">
      <c r="A76" s="479" t="s">
        <v>558</v>
      </c>
      <c r="B76" s="31" t="s">
        <v>297</v>
      </c>
      <c r="C76" s="23">
        <v>45735</v>
      </c>
      <c r="D76" s="119" t="s">
        <v>475</v>
      </c>
      <c r="E76" s="119" t="s">
        <v>26</v>
      </c>
      <c r="F76" s="119">
        <v>4</v>
      </c>
      <c r="G76" s="120">
        <v>59.63</v>
      </c>
      <c r="H76" s="120">
        <v>170.96</v>
      </c>
      <c r="I76" s="135" t="s">
        <v>562</v>
      </c>
      <c r="J76" s="399" t="s">
        <v>472</v>
      </c>
      <c r="K76" s="253" t="s">
        <v>470</v>
      </c>
      <c r="L76" s="400" t="s">
        <v>1295</v>
      </c>
      <c r="M76" s="143" t="s">
        <v>505</v>
      </c>
      <c r="N76" s="143" t="s">
        <v>473</v>
      </c>
      <c r="O76" s="143" t="s">
        <v>474</v>
      </c>
      <c r="P76" s="143" t="s">
        <v>471</v>
      </c>
      <c r="Q76" s="143" t="s">
        <v>570</v>
      </c>
      <c r="R76" s="143" t="s">
        <v>566</v>
      </c>
      <c r="S76" s="239">
        <v>45741</v>
      </c>
      <c r="T76" s="431">
        <v>10846</v>
      </c>
      <c r="U76" s="398" t="str">
        <f t="shared" ca="1" si="7"/>
        <v>Fora da garantia</v>
      </c>
      <c r="V76" s="398"/>
      <c r="W76" s="398"/>
      <c r="X76" s="398"/>
      <c r="Y76" s="398"/>
      <c r="Z76" s="398"/>
    </row>
    <row r="77" spans="1:26" s="378" customFormat="1" ht="27.75" customHeight="1" x14ac:dyDescent="0.25">
      <c r="A77" s="479" t="s">
        <v>485</v>
      </c>
      <c r="B77" s="31" t="s">
        <v>297</v>
      </c>
      <c r="C77" s="23">
        <v>45734</v>
      </c>
      <c r="D77" s="119" t="s">
        <v>563</v>
      </c>
      <c r="E77" s="119" t="s">
        <v>16</v>
      </c>
      <c r="F77" s="119">
        <v>1</v>
      </c>
      <c r="G77" s="120">
        <v>630</v>
      </c>
      <c r="H77" s="120">
        <v>499.45</v>
      </c>
      <c r="I77" s="135"/>
      <c r="J77" s="277" t="s">
        <v>486</v>
      </c>
      <c r="K77" s="253" t="s">
        <v>487</v>
      </c>
      <c r="L77" s="400" t="s">
        <v>1296</v>
      </c>
      <c r="M77" s="143" t="s">
        <v>504</v>
      </c>
      <c r="N77" s="143" t="s">
        <v>488</v>
      </c>
      <c r="O77" s="143" t="s">
        <v>489</v>
      </c>
      <c r="P77" s="143" t="s">
        <v>490</v>
      </c>
      <c r="Q77" s="143" t="s">
        <v>570</v>
      </c>
      <c r="R77" s="143" t="s">
        <v>567</v>
      </c>
      <c r="S77" s="239">
        <v>45736</v>
      </c>
      <c r="T77" s="427" t="s">
        <v>647</v>
      </c>
      <c r="U77" s="398" t="str">
        <f t="shared" ca="1" si="7"/>
        <v>Fora da garantia</v>
      </c>
      <c r="V77" s="398"/>
      <c r="W77" s="398"/>
      <c r="X77" s="398"/>
      <c r="Y77" s="398"/>
      <c r="Z77" s="398"/>
    </row>
    <row r="78" spans="1:26" s="378" customFormat="1" ht="27.75" customHeight="1" x14ac:dyDescent="0.25">
      <c r="A78" s="479" t="s">
        <v>508</v>
      </c>
      <c r="B78" s="31" t="s">
        <v>297</v>
      </c>
      <c r="C78" s="23">
        <v>45732</v>
      </c>
      <c r="D78" s="119" t="s">
        <v>475</v>
      </c>
      <c r="E78" s="119" t="s">
        <v>26</v>
      </c>
      <c r="F78" s="119">
        <v>1</v>
      </c>
      <c r="G78" s="120">
        <v>59.63</v>
      </c>
      <c r="H78" s="120">
        <v>42.74</v>
      </c>
      <c r="I78" s="121"/>
      <c r="J78" s="401" t="s">
        <v>472</v>
      </c>
      <c r="K78" s="253" t="s">
        <v>470</v>
      </c>
      <c r="L78" s="400" t="s">
        <v>1295</v>
      </c>
      <c r="M78" s="143" t="s">
        <v>505</v>
      </c>
      <c r="N78" s="143" t="s">
        <v>473</v>
      </c>
      <c r="O78" s="143" t="s">
        <v>474</v>
      </c>
      <c r="P78" s="143" t="s">
        <v>471</v>
      </c>
      <c r="Q78" s="143" t="s">
        <v>570</v>
      </c>
      <c r="R78" s="143" t="s">
        <v>568</v>
      </c>
      <c r="S78" s="239">
        <v>45734</v>
      </c>
      <c r="T78" s="427" t="s">
        <v>649</v>
      </c>
      <c r="U78" s="398" t="str">
        <f t="shared" ca="1" si="7"/>
        <v>Fora da garantia</v>
      </c>
      <c r="V78" s="398"/>
      <c r="W78" s="398"/>
      <c r="X78" s="398"/>
      <c r="Y78" s="398"/>
      <c r="Z78" s="398"/>
    </row>
    <row r="79" spans="1:26" s="378" customFormat="1" ht="27.75" customHeight="1" x14ac:dyDescent="0.25">
      <c r="A79" s="479" t="s">
        <v>465</v>
      </c>
      <c r="B79" s="31" t="s">
        <v>297</v>
      </c>
      <c r="C79" s="23">
        <v>45729</v>
      </c>
      <c r="D79" s="119" t="s">
        <v>476</v>
      </c>
      <c r="E79" s="119" t="s">
        <v>153</v>
      </c>
      <c r="F79" s="119">
        <v>1</v>
      </c>
      <c r="G79" s="120">
        <v>1865.6</v>
      </c>
      <c r="H79" s="120">
        <v>1691.71</v>
      </c>
      <c r="I79" s="121" t="s">
        <v>466</v>
      </c>
      <c r="J79" s="401" t="s">
        <v>491</v>
      </c>
      <c r="K79" s="254" t="s">
        <v>492</v>
      </c>
      <c r="L79" s="254" t="s">
        <v>1297</v>
      </c>
      <c r="M79" s="143" t="s">
        <v>506</v>
      </c>
      <c r="N79" s="129" t="s">
        <v>493</v>
      </c>
      <c r="O79" s="129" t="s">
        <v>494</v>
      </c>
      <c r="P79" s="129" t="s">
        <v>471</v>
      </c>
      <c r="Q79" s="129" t="s">
        <v>571</v>
      </c>
      <c r="R79" s="129"/>
      <c r="S79" s="240">
        <v>45733</v>
      </c>
      <c r="T79" s="432" t="s">
        <v>648</v>
      </c>
      <c r="U79" s="398" t="str">
        <f t="shared" ca="1" si="7"/>
        <v>Fora da garantia</v>
      </c>
      <c r="V79" s="398"/>
      <c r="W79" s="398"/>
      <c r="X79" s="398"/>
      <c r="Y79" s="398"/>
      <c r="Z79" s="398"/>
    </row>
    <row r="80" spans="1:26" s="378" customFormat="1" ht="27.75" customHeight="1" x14ac:dyDescent="0.25">
      <c r="A80" s="479" t="s">
        <v>464</v>
      </c>
      <c r="B80" s="31" t="s">
        <v>297</v>
      </c>
      <c r="C80" s="23">
        <v>45728</v>
      </c>
      <c r="D80" s="119" t="s">
        <v>477</v>
      </c>
      <c r="E80" s="119" t="s">
        <v>16</v>
      </c>
      <c r="F80" s="119">
        <v>1</v>
      </c>
      <c r="G80" s="120">
        <v>630</v>
      </c>
      <c r="H80" s="120">
        <v>499.45</v>
      </c>
      <c r="I80" s="121"/>
      <c r="J80" s="277" t="s">
        <v>497</v>
      </c>
      <c r="K80" s="255" t="s">
        <v>495</v>
      </c>
      <c r="L80" s="255" t="s">
        <v>1298</v>
      </c>
      <c r="M80" s="150" t="s">
        <v>496</v>
      </c>
      <c r="N80" s="128" t="s">
        <v>498</v>
      </c>
      <c r="O80" s="128" t="s">
        <v>499</v>
      </c>
      <c r="P80" s="128" t="s">
        <v>471</v>
      </c>
      <c r="Q80" s="128" t="s">
        <v>570</v>
      </c>
      <c r="R80" s="143" t="s">
        <v>572</v>
      </c>
      <c r="S80" s="241">
        <v>45734</v>
      </c>
      <c r="T80" s="433"/>
      <c r="U80" s="398" t="str">
        <f t="shared" ca="1" si="7"/>
        <v>Fora da garantia</v>
      </c>
      <c r="V80" s="398"/>
      <c r="W80" s="398"/>
      <c r="X80" s="398"/>
      <c r="Y80" s="398"/>
      <c r="Z80" s="398"/>
    </row>
    <row r="81" spans="1:26" s="378" customFormat="1" ht="27.75" customHeight="1" x14ac:dyDescent="0.25">
      <c r="A81" s="479" t="s">
        <v>463</v>
      </c>
      <c r="B81" s="31" t="s">
        <v>298</v>
      </c>
      <c r="C81" s="23">
        <v>45727</v>
      </c>
      <c r="D81" s="119" t="s">
        <v>48</v>
      </c>
      <c r="E81" s="119"/>
      <c r="F81" s="119">
        <v>1</v>
      </c>
      <c r="G81" s="120">
        <v>26.86</v>
      </c>
      <c r="H81" s="120">
        <v>-16.04</v>
      </c>
      <c r="I81" s="121"/>
      <c r="J81" s="277" t="s">
        <v>501</v>
      </c>
      <c r="K81" s="128" t="s">
        <v>502</v>
      </c>
      <c r="L81" s="128" t="s">
        <v>1299</v>
      </c>
      <c r="M81" s="150" t="s">
        <v>1001</v>
      </c>
      <c r="N81" s="128" t="s">
        <v>503</v>
      </c>
      <c r="O81" s="128" t="s">
        <v>503</v>
      </c>
      <c r="P81" s="128" t="s">
        <v>471</v>
      </c>
      <c r="Q81" s="221"/>
      <c r="R81" s="223"/>
      <c r="S81" s="242"/>
      <c r="T81" s="433"/>
      <c r="U81" s="398" t="str">
        <f t="shared" ca="1" si="7"/>
        <v/>
      </c>
      <c r="V81" s="398"/>
      <c r="W81" s="398"/>
      <c r="X81" s="398"/>
      <c r="Y81" s="398"/>
      <c r="Z81" s="398"/>
    </row>
    <row r="82" spans="1:26" s="378" customFormat="1" ht="27.75" customHeight="1" x14ac:dyDescent="0.25">
      <c r="A82" s="479" t="s">
        <v>457</v>
      </c>
      <c r="B82" s="31" t="s">
        <v>297</v>
      </c>
      <c r="C82" s="23">
        <v>45722</v>
      </c>
      <c r="D82" s="119" t="s">
        <v>478</v>
      </c>
      <c r="E82" s="119" t="s">
        <v>116</v>
      </c>
      <c r="F82" s="119">
        <v>1</v>
      </c>
      <c r="G82" s="120">
        <v>285.99</v>
      </c>
      <c r="H82" s="120">
        <v>309</v>
      </c>
      <c r="I82" s="121" t="s">
        <v>458</v>
      </c>
      <c r="J82" s="401" t="s">
        <v>509</v>
      </c>
      <c r="K82" s="224" t="s">
        <v>510</v>
      </c>
      <c r="L82" s="224" t="s">
        <v>1300</v>
      </c>
      <c r="M82" s="151" t="s">
        <v>511</v>
      </c>
      <c r="N82" s="224" t="s">
        <v>512</v>
      </c>
      <c r="O82" s="224" t="s">
        <v>512</v>
      </c>
      <c r="P82" s="224" t="s">
        <v>513</v>
      </c>
      <c r="Q82" s="224" t="s">
        <v>573</v>
      </c>
      <c r="R82" s="224">
        <v>10805</v>
      </c>
      <c r="S82" s="243">
        <v>45734</v>
      </c>
      <c r="T82" s="449" t="s">
        <v>1342</v>
      </c>
      <c r="U82" s="398" t="str">
        <f t="shared" ca="1" si="7"/>
        <v>Fora da garantia</v>
      </c>
      <c r="V82" s="398"/>
      <c r="W82" s="398"/>
      <c r="X82" s="398"/>
      <c r="Y82" s="398"/>
      <c r="Z82" s="398"/>
    </row>
    <row r="83" spans="1:26" s="378" customFormat="1" ht="27.75" customHeight="1" x14ac:dyDescent="0.25">
      <c r="A83" s="479" t="s">
        <v>514</v>
      </c>
      <c r="B83" s="31" t="s">
        <v>297</v>
      </c>
      <c r="C83" s="23">
        <v>45714</v>
      </c>
      <c r="D83" s="119" t="s">
        <v>61</v>
      </c>
      <c r="E83" s="119" t="s">
        <v>60</v>
      </c>
      <c r="F83" s="119">
        <v>1</v>
      </c>
      <c r="G83" s="120">
        <v>500</v>
      </c>
      <c r="H83" s="120">
        <v>368.1</v>
      </c>
      <c r="I83" s="135"/>
      <c r="J83" s="277" t="s">
        <v>515</v>
      </c>
      <c r="K83" s="224" t="s">
        <v>516</v>
      </c>
      <c r="L83" s="224" t="s">
        <v>1301</v>
      </c>
      <c r="M83" s="151" t="s">
        <v>517</v>
      </c>
      <c r="N83" s="220"/>
      <c r="O83" s="224" t="s">
        <v>518</v>
      </c>
      <c r="P83" s="224" t="s">
        <v>519</v>
      </c>
      <c r="Q83" s="224" t="s">
        <v>570</v>
      </c>
      <c r="R83" s="224" t="s">
        <v>574</v>
      </c>
      <c r="S83" s="243">
        <v>45733</v>
      </c>
      <c r="T83" s="434" t="s">
        <v>650</v>
      </c>
      <c r="U83" s="398" t="str">
        <f t="shared" ca="1" si="7"/>
        <v>Fora da garantia</v>
      </c>
      <c r="V83" s="398"/>
      <c r="W83" s="398"/>
      <c r="X83" s="398"/>
      <c r="Y83" s="398"/>
      <c r="Z83" s="398"/>
    </row>
    <row r="84" spans="1:26" s="378" customFormat="1" ht="27.75" customHeight="1" x14ac:dyDescent="0.25">
      <c r="A84" s="479" t="s">
        <v>448</v>
      </c>
      <c r="B84" s="31" t="s">
        <v>355</v>
      </c>
      <c r="C84" s="23">
        <v>45708</v>
      </c>
      <c r="D84" s="119" t="s">
        <v>133</v>
      </c>
      <c r="E84" s="119"/>
      <c r="F84" s="119">
        <v>1</v>
      </c>
      <c r="G84" s="120">
        <v>77.52</v>
      </c>
      <c r="H84" s="120">
        <v>-61.47</v>
      </c>
      <c r="I84" s="121"/>
      <c r="J84" s="277" t="s">
        <v>520</v>
      </c>
      <c r="K84" s="128" t="s">
        <v>521</v>
      </c>
      <c r="L84" s="402" t="s">
        <v>1302</v>
      </c>
      <c r="M84" s="150" t="s">
        <v>522</v>
      </c>
      <c r="N84" s="125"/>
      <c r="O84" s="128" t="s">
        <v>523</v>
      </c>
      <c r="P84" s="128" t="s">
        <v>490</v>
      </c>
      <c r="Q84" s="128" t="s">
        <v>570</v>
      </c>
      <c r="R84" s="128" t="s">
        <v>575</v>
      </c>
      <c r="S84" s="241">
        <v>45726</v>
      </c>
      <c r="T84" s="435"/>
      <c r="U84" s="398" t="str">
        <f t="shared" ca="1" si="7"/>
        <v>Fora da garantia</v>
      </c>
      <c r="V84" s="398"/>
      <c r="W84" s="398"/>
      <c r="X84" s="398"/>
      <c r="Y84" s="398"/>
      <c r="Z84" s="398"/>
    </row>
    <row r="85" spans="1:26" s="378" customFormat="1" ht="27.75" customHeight="1" x14ac:dyDescent="0.25">
      <c r="A85" s="479" t="s">
        <v>430</v>
      </c>
      <c r="B85" s="72" t="s">
        <v>297</v>
      </c>
      <c r="C85" s="23">
        <v>45702</v>
      </c>
      <c r="D85" s="119" t="s">
        <v>15</v>
      </c>
      <c r="E85" s="119" t="s">
        <v>1309</v>
      </c>
      <c r="F85" s="119">
        <v>1</v>
      </c>
      <c r="G85" s="120">
        <v>96.1</v>
      </c>
      <c r="H85" s="120">
        <v>62.12</v>
      </c>
      <c r="I85" s="121"/>
      <c r="J85" s="277" t="s">
        <v>524</v>
      </c>
      <c r="K85" s="128" t="s">
        <v>525</v>
      </c>
      <c r="L85" s="402" t="s">
        <v>1303</v>
      </c>
      <c r="M85" s="150" t="s">
        <v>526</v>
      </c>
      <c r="N85" s="128" t="s">
        <v>498</v>
      </c>
      <c r="O85" s="128" t="s">
        <v>527</v>
      </c>
      <c r="P85" s="128" t="s">
        <v>513</v>
      </c>
      <c r="Q85" s="128" t="s">
        <v>570</v>
      </c>
      <c r="R85" s="128" t="s">
        <v>576</v>
      </c>
      <c r="S85" s="241">
        <v>45712</v>
      </c>
      <c r="T85" s="435" t="s">
        <v>651</v>
      </c>
      <c r="U85" s="398" t="str">
        <f t="shared" ca="1" si="7"/>
        <v>Fora da garantia</v>
      </c>
      <c r="V85" s="398"/>
      <c r="W85" s="398"/>
      <c r="X85" s="398"/>
      <c r="Y85" s="398"/>
      <c r="Z85" s="398"/>
    </row>
    <row r="86" spans="1:26" s="378" customFormat="1" ht="27.75" customHeight="1" x14ac:dyDescent="0.25">
      <c r="A86" s="479" t="s">
        <v>429</v>
      </c>
      <c r="B86" s="72" t="s">
        <v>355</v>
      </c>
      <c r="C86" s="23">
        <v>45701</v>
      </c>
      <c r="D86" s="119" t="s">
        <v>17</v>
      </c>
      <c r="E86" s="119"/>
      <c r="F86" s="119">
        <v>1</v>
      </c>
      <c r="G86" s="120">
        <v>630</v>
      </c>
      <c r="H86" s="120">
        <v>-497.95</v>
      </c>
      <c r="I86" s="121" t="s">
        <v>444</v>
      </c>
      <c r="J86" s="277" t="s">
        <v>528</v>
      </c>
      <c r="K86" s="128" t="s">
        <v>529</v>
      </c>
      <c r="L86" s="402" t="s">
        <v>1304</v>
      </c>
      <c r="M86" s="150" t="s">
        <v>530</v>
      </c>
      <c r="N86" s="128" t="s">
        <v>531</v>
      </c>
      <c r="O86" s="128" t="s">
        <v>532</v>
      </c>
      <c r="P86" s="128" t="s">
        <v>471</v>
      </c>
      <c r="Q86" s="128" t="s">
        <v>570</v>
      </c>
      <c r="R86" s="128" t="s">
        <v>575</v>
      </c>
      <c r="S86" s="241">
        <v>45726</v>
      </c>
      <c r="T86" s="435"/>
      <c r="U86" s="398" t="str">
        <f t="shared" ca="1" si="7"/>
        <v>Fora da garantia</v>
      </c>
      <c r="V86" s="398"/>
      <c r="W86" s="398"/>
      <c r="X86" s="398"/>
      <c r="Y86" s="398"/>
      <c r="Z86" s="398"/>
    </row>
    <row r="87" spans="1:26" s="378" customFormat="1" ht="27.75" customHeight="1" x14ac:dyDescent="0.25">
      <c r="A87" s="479" t="s">
        <v>427</v>
      </c>
      <c r="B87" s="72" t="s">
        <v>297</v>
      </c>
      <c r="C87" s="23">
        <v>45699</v>
      </c>
      <c r="D87" s="119" t="s">
        <v>428</v>
      </c>
      <c r="E87" s="119" t="s">
        <v>60</v>
      </c>
      <c r="F87" s="119">
        <v>2</v>
      </c>
      <c r="G87" s="120">
        <v>500</v>
      </c>
      <c r="H87" s="120">
        <v>368.1</v>
      </c>
      <c r="I87" s="121"/>
      <c r="J87" s="277" t="s">
        <v>515</v>
      </c>
      <c r="K87" s="224" t="s">
        <v>516</v>
      </c>
      <c r="L87" s="224" t="s">
        <v>1301</v>
      </c>
      <c r="M87" s="151" t="s">
        <v>517</v>
      </c>
      <c r="N87" s="220"/>
      <c r="O87" s="224" t="s">
        <v>518</v>
      </c>
      <c r="P87" s="224" t="s">
        <v>519</v>
      </c>
      <c r="Q87" s="224" t="s">
        <v>570</v>
      </c>
      <c r="R87" s="224" t="s">
        <v>577</v>
      </c>
      <c r="S87" s="243">
        <v>45708</v>
      </c>
      <c r="T87" s="434" t="s">
        <v>652</v>
      </c>
      <c r="U87" s="398" t="str">
        <f t="shared" ca="1" si="7"/>
        <v>Fora da garantia</v>
      </c>
      <c r="V87" s="398"/>
      <c r="W87" s="398"/>
      <c r="X87" s="398"/>
      <c r="Y87" s="398"/>
      <c r="Z87" s="398"/>
    </row>
    <row r="88" spans="1:26" s="378" customFormat="1" ht="27.75" customHeight="1" x14ac:dyDescent="0.25">
      <c r="A88" s="479" t="s">
        <v>426</v>
      </c>
      <c r="B88" s="72" t="s">
        <v>297</v>
      </c>
      <c r="C88" s="23">
        <v>45691</v>
      </c>
      <c r="D88" s="119" t="s">
        <v>117</v>
      </c>
      <c r="E88" s="119" t="s">
        <v>116</v>
      </c>
      <c r="F88" s="119">
        <v>1</v>
      </c>
      <c r="G88" s="120">
        <v>285.99</v>
      </c>
      <c r="H88" s="120">
        <v>237.37</v>
      </c>
      <c r="I88" s="121"/>
      <c r="J88" s="277" t="s">
        <v>533</v>
      </c>
      <c r="K88" s="128" t="s">
        <v>534</v>
      </c>
      <c r="L88" s="402" t="s">
        <v>1305</v>
      </c>
      <c r="M88" s="150" t="s">
        <v>535</v>
      </c>
      <c r="N88" s="128" t="s">
        <v>536</v>
      </c>
      <c r="O88" s="128" t="s">
        <v>494</v>
      </c>
      <c r="P88" s="128" t="s">
        <v>471</v>
      </c>
      <c r="Q88" s="128" t="s">
        <v>573</v>
      </c>
      <c r="R88" s="128">
        <v>10751</v>
      </c>
      <c r="S88" s="241">
        <v>45698</v>
      </c>
      <c r="T88" s="435" t="s">
        <v>653</v>
      </c>
      <c r="U88" s="398" t="str">
        <f t="shared" ca="1" si="7"/>
        <v>Fora da garantia</v>
      </c>
      <c r="V88" s="398"/>
      <c r="W88" s="398"/>
      <c r="X88" s="398"/>
      <c r="Y88" s="398"/>
      <c r="Z88" s="398"/>
    </row>
    <row r="89" spans="1:26" s="378" customFormat="1" ht="27.75" customHeight="1" x14ac:dyDescent="0.25">
      <c r="A89" s="479" t="s">
        <v>425</v>
      </c>
      <c r="B89" s="72" t="s">
        <v>297</v>
      </c>
      <c r="C89" s="23">
        <v>45688</v>
      </c>
      <c r="D89" s="119" t="s">
        <v>17</v>
      </c>
      <c r="E89" s="119" t="s">
        <v>16</v>
      </c>
      <c r="F89" s="119">
        <v>1</v>
      </c>
      <c r="G89" s="120">
        <v>700</v>
      </c>
      <c r="H89" s="120">
        <v>556.04999999999995</v>
      </c>
      <c r="I89" s="121"/>
      <c r="J89" s="277" t="s">
        <v>537</v>
      </c>
      <c r="K89" s="128" t="s">
        <v>538</v>
      </c>
      <c r="L89" s="402" t="s">
        <v>1306</v>
      </c>
      <c r="M89" s="150" t="s">
        <v>539</v>
      </c>
      <c r="N89" s="128" t="s">
        <v>540</v>
      </c>
      <c r="O89" s="128" t="s">
        <v>541</v>
      </c>
      <c r="P89" s="128" t="s">
        <v>471</v>
      </c>
      <c r="Q89" s="128" t="s">
        <v>570</v>
      </c>
      <c r="R89" s="276" t="s">
        <v>578</v>
      </c>
      <c r="S89" s="241">
        <v>45698</v>
      </c>
      <c r="T89" s="433"/>
      <c r="U89" s="398" t="str">
        <f t="shared" ca="1" si="7"/>
        <v>Fora da garantia</v>
      </c>
      <c r="V89" s="398"/>
      <c r="W89" s="398"/>
      <c r="X89" s="398"/>
      <c r="Y89" s="398"/>
      <c r="Z89" s="398"/>
    </row>
    <row r="90" spans="1:26" s="378" customFormat="1" ht="27.75" customHeight="1" x14ac:dyDescent="0.25">
      <c r="A90" s="479" t="s">
        <v>423</v>
      </c>
      <c r="B90" s="72" t="s">
        <v>298</v>
      </c>
      <c r="C90" s="23">
        <v>45684</v>
      </c>
      <c r="D90" s="119" t="s">
        <v>117</v>
      </c>
      <c r="E90" s="119"/>
      <c r="F90" s="119">
        <v>1</v>
      </c>
      <c r="G90" s="120">
        <v>285.99</v>
      </c>
      <c r="H90" s="120">
        <v>-127.92</v>
      </c>
      <c r="I90" s="121" t="s">
        <v>424</v>
      </c>
      <c r="J90" s="277" t="s">
        <v>542</v>
      </c>
      <c r="K90" s="128" t="s">
        <v>543</v>
      </c>
      <c r="L90" s="402" t="s">
        <v>1307</v>
      </c>
      <c r="M90" s="150" t="s">
        <v>544</v>
      </c>
      <c r="N90" s="128" t="s">
        <v>545</v>
      </c>
      <c r="O90" s="128" t="s">
        <v>546</v>
      </c>
      <c r="P90" s="128" t="s">
        <v>471</v>
      </c>
      <c r="Q90" s="221"/>
      <c r="R90" s="223"/>
      <c r="S90" s="242"/>
      <c r="T90" s="449" t="s">
        <v>1392</v>
      </c>
      <c r="U90" s="398" t="str">
        <f t="shared" ca="1" si="7"/>
        <v/>
      </c>
      <c r="V90" s="398"/>
      <c r="W90" s="398"/>
      <c r="X90" s="398"/>
      <c r="Y90" s="398"/>
      <c r="Z90" s="398"/>
    </row>
    <row r="91" spans="1:26" s="378" customFormat="1" ht="27.75" customHeight="1" x14ac:dyDescent="0.25">
      <c r="A91" s="479" t="s">
        <v>422</v>
      </c>
      <c r="B91" s="72" t="s">
        <v>297</v>
      </c>
      <c r="C91" s="23">
        <v>45683</v>
      </c>
      <c r="D91" s="119" t="s">
        <v>15</v>
      </c>
      <c r="E91" s="119" t="s">
        <v>1309</v>
      </c>
      <c r="F91" s="119">
        <v>1</v>
      </c>
      <c r="G91" s="120">
        <v>96.1</v>
      </c>
      <c r="H91" s="120">
        <v>62.12</v>
      </c>
      <c r="I91" s="121"/>
      <c r="J91" s="277" t="s">
        <v>662</v>
      </c>
      <c r="K91" s="128" t="s">
        <v>547</v>
      </c>
      <c r="L91" s="402" t="s">
        <v>681</v>
      </c>
      <c r="M91" s="150" t="s">
        <v>548</v>
      </c>
      <c r="N91" s="128" t="s">
        <v>549</v>
      </c>
      <c r="O91" s="128" t="s">
        <v>550</v>
      </c>
      <c r="P91" s="128" t="s">
        <v>551</v>
      </c>
      <c r="Q91" s="128" t="s">
        <v>570</v>
      </c>
      <c r="R91" s="276" t="s">
        <v>579</v>
      </c>
      <c r="S91" s="241">
        <v>45692</v>
      </c>
      <c r="T91" s="435" t="s">
        <v>654</v>
      </c>
      <c r="U91" s="398" t="str">
        <f t="shared" ca="1" si="7"/>
        <v>Fora da garantia</v>
      </c>
      <c r="V91" s="398"/>
      <c r="W91" s="398"/>
      <c r="X91" s="398"/>
      <c r="Y91" s="398"/>
      <c r="Z91" s="398"/>
    </row>
    <row r="92" spans="1:26" s="378" customFormat="1" ht="27.75" customHeight="1" x14ac:dyDescent="0.25">
      <c r="A92" s="479" t="s">
        <v>421</v>
      </c>
      <c r="B92" s="72" t="s">
        <v>297</v>
      </c>
      <c r="C92" s="23">
        <v>45679</v>
      </c>
      <c r="D92" s="119" t="s">
        <v>37</v>
      </c>
      <c r="E92" s="119" t="s">
        <v>168</v>
      </c>
      <c r="F92" s="119">
        <v>3</v>
      </c>
      <c r="G92" s="120">
        <v>1750</v>
      </c>
      <c r="H92" s="120">
        <v>4490.8500000000004</v>
      </c>
      <c r="I92" s="121"/>
      <c r="J92" s="277" t="s">
        <v>552</v>
      </c>
      <c r="K92" s="128" t="s">
        <v>553</v>
      </c>
      <c r="L92" s="402" t="s">
        <v>1308</v>
      </c>
      <c r="M92" s="150" t="s">
        <v>554</v>
      </c>
      <c r="N92" s="128" t="s">
        <v>555</v>
      </c>
      <c r="O92" s="128" t="s">
        <v>556</v>
      </c>
      <c r="P92" s="128" t="s">
        <v>557</v>
      </c>
      <c r="Q92" s="128" t="s">
        <v>570</v>
      </c>
      <c r="R92" s="128" t="s">
        <v>580</v>
      </c>
      <c r="S92" s="241">
        <v>45685</v>
      </c>
      <c r="T92" s="435" t="s">
        <v>655</v>
      </c>
      <c r="U92" s="398" t="str">
        <f t="shared" ca="1" si="7"/>
        <v>Fora da garantia</v>
      </c>
      <c r="V92" s="398"/>
      <c r="W92" s="398"/>
      <c r="X92" s="398"/>
      <c r="Y92" s="398"/>
      <c r="Z92" s="398"/>
    </row>
    <row r="93" spans="1:26" s="378" customFormat="1" ht="27.75" customHeight="1" x14ac:dyDescent="0.25">
      <c r="A93" s="479" t="s">
        <v>420</v>
      </c>
      <c r="B93" s="72" t="s">
        <v>297</v>
      </c>
      <c r="C93" s="23">
        <v>45666</v>
      </c>
      <c r="D93" s="119" t="s">
        <v>43</v>
      </c>
      <c r="E93" s="119" t="s">
        <v>42</v>
      </c>
      <c r="F93" s="119">
        <v>1</v>
      </c>
      <c r="G93" s="120">
        <v>2439.6</v>
      </c>
      <c r="H93" s="120">
        <v>1982.92</v>
      </c>
      <c r="I93" s="121"/>
      <c r="J93" s="275" t="s">
        <v>581</v>
      </c>
      <c r="K93" s="276" t="s">
        <v>582</v>
      </c>
      <c r="L93" s="276" t="s">
        <v>583</v>
      </c>
      <c r="M93" s="150" t="s">
        <v>584</v>
      </c>
      <c r="N93" s="128" t="s">
        <v>585</v>
      </c>
      <c r="O93" s="128" t="s">
        <v>586</v>
      </c>
      <c r="P93" s="128" t="s">
        <v>471</v>
      </c>
      <c r="Q93" s="128" t="s">
        <v>570</v>
      </c>
      <c r="R93" s="276" t="s">
        <v>587</v>
      </c>
      <c r="S93" s="241">
        <v>45667</v>
      </c>
      <c r="T93" s="435" t="s">
        <v>656</v>
      </c>
      <c r="U93" s="398" t="str">
        <f t="shared" ca="1" si="7"/>
        <v>Fora da garantia</v>
      </c>
      <c r="V93" s="398"/>
      <c r="W93" s="398"/>
      <c r="X93" s="398"/>
      <c r="Y93" s="398"/>
      <c r="Z93" s="398"/>
    </row>
    <row r="94" spans="1:26" s="378" customFormat="1" ht="27.75" customHeight="1" x14ac:dyDescent="0.25">
      <c r="A94" s="479" t="s">
        <v>416</v>
      </c>
      <c r="B94" s="72" t="s">
        <v>298</v>
      </c>
      <c r="C94" s="23">
        <v>45665</v>
      </c>
      <c r="D94" s="119" t="s">
        <v>9</v>
      </c>
      <c r="E94" s="119"/>
      <c r="F94" s="119">
        <v>1</v>
      </c>
      <c r="G94" s="120">
        <v>2280</v>
      </c>
      <c r="H94" s="120">
        <v>-1867.45</v>
      </c>
      <c r="I94" s="121"/>
      <c r="J94" s="275" t="s">
        <v>588</v>
      </c>
      <c r="K94" s="128" t="s">
        <v>589</v>
      </c>
      <c r="L94" s="276" t="s">
        <v>590</v>
      </c>
      <c r="M94" s="150" t="s">
        <v>591</v>
      </c>
      <c r="N94" s="128" t="s">
        <v>592</v>
      </c>
      <c r="O94" s="128" t="s">
        <v>593</v>
      </c>
      <c r="P94" s="128" t="s">
        <v>513</v>
      </c>
      <c r="Q94" s="221"/>
      <c r="R94" s="223"/>
      <c r="S94" s="242"/>
      <c r="T94" s="433"/>
      <c r="U94" s="398" t="str">
        <f t="shared" ca="1" si="7"/>
        <v/>
      </c>
      <c r="V94" s="398"/>
      <c r="W94" s="398"/>
      <c r="X94" s="398"/>
      <c r="Y94" s="398"/>
      <c r="Z94" s="398"/>
    </row>
    <row r="95" spans="1:26" s="378" customFormat="1" ht="27.75" customHeight="1" x14ac:dyDescent="0.25">
      <c r="A95" s="479" t="s">
        <v>417</v>
      </c>
      <c r="B95" s="72" t="s">
        <v>298</v>
      </c>
      <c r="C95" s="23">
        <v>45665</v>
      </c>
      <c r="D95" s="119" t="s">
        <v>418</v>
      </c>
      <c r="E95" s="119"/>
      <c r="F95" s="119">
        <v>1</v>
      </c>
      <c r="G95" s="120">
        <v>1865.59</v>
      </c>
      <c r="H95" s="120">
        <v>-1548.44</v>
      </c>
      <c r="I95" s="121" t="s">
        <v>561</v>
      </c>
      <c r="J95" s="277" t="s">
        <v>594</v>
      </c>
      <c r="K95" s="128" t="s">
        <v>595</v>
      </c>
      <c r="L95" s="235"/>
      <c r="M95" s="234"/>
      <c r="N95" s="221"/>
      <c r="O95" s="221"/>
      <c r="P95" s="221"/>
      <c r="Q95" s="221"/>
      <c r="R95" s="223"/>
      <c r="S95" s="242"/>
      <c r="T95" s="433"/>
      <c r="U95" s="398" t="str">
        <f t="shared" ca="1" si="7"/>
        <v/>
      </c>
      <c r="V95" s="398"/>
      <c r="W95" s="398"/>
      <c r="X95" s="398"/>
      <c r="Y95" s="398"/>
      <c r="Z95" s="398"/>
    </row>
    <row r="96" spans="1:26" s="378" customFormat="1" ht="27.75" customHeight="1" x14ac:dyDescent="0.25">
      <c r="A96" s="479" t="s">
        <v>419</v>
      </c>
      <c r="B96" s="72" t="s">
        <v>297</v>
      </c>
      <c r="C96" s="23">
        <v>45665</v>
      </c>
      <c r="D96" s="119" t="s">
        <v>9</v>
      </c>
      <c r="E96" s="119" t="s">
        <v>8</v>
      </c>
      <c r="F96" s="119">
        <v>1</v>
      </c>
      <c r="G96" s="120">
        <v>2280</v>
      </c>
      <c r="H96" s="120">
        <v>1867.45</v>
      </c>
      <c r="I96" s="121"/>
      <c r="J96" s="275" t="s">
        <v>596</v>
      </c>
      <c r="K96" s="276" t="s">
        <v>597</v>
      </c>
      <c r="L96" s="276" t="s">
        <v>598</v>
      </c>
      <c r="M96" s="276" t="s">
        <v>599</v>
      </c>
      <c r="N96" s="125"/>
      <c r="O96" s="276" t="s">
        <v>600</v>
      </c>
      <c r="P96" s="128" t="s">
        <v>471</v>
      </c>
      <c r="Q96" s="128" t="s">
        <v>570</v>
      </c>
      <c r="R96" s="276" t="s">
        <v>601</v>
      </c>
      <c r="S96" s="241">
        <v>45670</v>
      </c>
      <c r="T96" s="435" t="s">
        <v>657</v>
      </c>
      <c r="U96" s="398" t="str">
        <f t="shared" ca="1" si="7"/>
        <v>Fora da garantia</v>
      </c>
      <c r="V96" s="398"/>
      <c r="W96" s="398"/>
      <c r="X96" s="398"/>
      <c r="Y96" s="398"/>
      <c r="Z96" s="398"/>
    </row>
    <row r="97" spans="1:26" s="378" customFormat="1" ht="27.75" customHeight="1" x14ac:dyDescent="0.25">
      <c r="A97" s="479" t="s">
        <v>415</v>
      </c>
      <c r="B97" s="72" t="s">
        <v>297</v>
      </c>
      <c r="C97" s="23">
        <v>45634</v>
      </c>
      <c r="D97" s="119" t="s">
        <v>115</v>
      </c>
      <c r="E97" s="119" t="s">
        <v>114</v>
      </c>
      <c r="F97" s="119">
        <v>1</v>
      </c>
      <c r="G97" s="120">
        <v>1599.99</v>
      </c>
      <c r="H97" s="120">
        <v>1305.04</v>
      </c>
      <c r="I97" s="121"/>
      <c r="J97" s="275" t="s">
        <v>602</v>
      </c>
      <c r="K97" s="276" t="s">
        <v>603</v>
      </c>
      <c r="L97" s="276" t="s">
        <v>604</v>
      </c>
      <c r="M97" s="276" t="s">
        <v>618</v>
      </c>
      <c r="N97" s="278" t="s">
        <v>605</v>
      </c>
      <c r="O97" s="276" t="s">
        <v>494</v>
      </c>
      <c r="P97" s="128" t="s">
        <v>471</v>
      </c>
      <c r="Q97" s="128" t="s">
        <v>570</v>
      </c>
      <c r="R97" s="276" t="s">
        <v>606</v>
      </c>
      <c r="S97" s="241">
        <v>45637</v>
      </c>
      <c r="T97" s="435" t="s">
        <v>658</v>
      </c>
      <c r="U97" s="398" t="str">
        <f t="shared" ca="1" si="7"/>
        <v>Fora da garantia</v>
      </c>
      <c r="V97" s="398"/>
      <c r="W97" s="398"/>
      <c r="X97" s="398"/>
      <c r="Y97" s="398"/>
      <c r="Z97" s="398"/>
    </row>
    <row r="98" spans="1:26" s="378" customFormat="1" ht="27.75" customHeight="1" x14ac:dyDescent="0.25">
      <c r="A98" s="479" t="s">
        <v>412</v>
      </c>
      <c r="B98" s="72" t="s">
        <v>298</v>
      </c>
      <c r="C98" s="23">
        <v>45623</v>
      </c>
      <c r="D98" s="119" t="s">
        <v>133</v>
      </c>
      <c r="E98" s="119"/>
      <c r="F98" s="119">
        <v>1</v>
      </c>
      <c r="G98" s="120">
        <v>60</v>
      </c>
      <c r="H98" s="120">
        <v>-46.8</v>
      </c>
      <c r="I98" s="121"/>
      <c r="J98" s="277" t="s">
        <v>607</v>
      </c>
      <c r="K98" s="128" t="s">
        <v>608</v>
      </c>
      <c r="L98" s="402" t="s">
        <v>609</v>
      </c>
      <c r="M98" s="150" t="s">
        <v>610</v>
      </c>
      <c r="N98" s="125"/>
      <c r="O98" s="128" t="s">
        <v>611</v>
      </c>
      <c r="P98" s="128" t="s">
        <v>612</v>
      </c>
      <c r="Q98" s="221"/>
      <c r="R98" s="223"/>
      <c r="S98" s="242"/>
      <c r="T98" s="433"/>
      <c r="U98" s="398" t="str">
        <f t="shared" ca="1" si="7"/>
        <v/>
      </c>
      <c r="V98" s="398"/>
      <c r="W98" s="398"/>
      <c r="X98" s="398"/>
      <c r="Y98" s="398"/>
      <c r="Z98" s="398"/>
    </row>
    <row r="99" spans="1:26" s="378" customFormat="1" ht="27.75" customHeight="1" x14ac:dyDescent="0.25">
      <c r="A99" s="479" t="s">
        <v>413</v>
      </c>
      <c r="B99" s="72" t="s">
        <v>355</v>
      </c>
      <c r="C99" s="23">
        <v>45623</v>
      </c>
      <c r="D99" s="119" t="s">
        <v>133</v>
      </c>
      <c r="E99" s="119"/>
      <c r="F99" s="119">
        <v>1</v>
      </c>
      <c r="G99" s="120">
        <v>60</v>
      </c>
      <c r="H99" s="120">
        <v>-46.8</v>
      </c>
      <c r="I99" s="121" t="s">
        <v>414</v>
      </c>
      <c r="J99" s="277" t="s">
        <v>607</v>
      </c>
      <c r="K99" s="128" t="s">
        <v>608</v>
      </c>
      <c r="L99" s="402" t="s">
        <v>609</v>
      </c>
      <c r="M99" s="150" t="s">
        <v>610</v>
      </c>
      <c r="N99" s="125"/>
      <c r="O99" s="128" t="s">
        <v>611</v>
      </c>
      <c r="P99" s="128" t="s">
        <v>612</v>
      </c>
      <c r="Q99" s="128" t="s">
        <v>570</v>
      </c>
      <c r="R99" s="276" t="s">
        <v>613</v>
      </c>
      <c r="S99" s="241">
        <v>45660</v>
      </c>
      <c r="T99" s="435"/>
      <c r="U99" s="398" t="str">
        <f t="shared" ca="1" si="7"/>
        <v>Fora da garantia</v>
      </c>
      <c r="V99" s="398"/>
      <c r="W99" s="398"/>
      <c r="X99" s="398"/>
      <c r="Y99" s="398"/>
      <c r="Z99" s="398"/>
    </row>
    <row r="100" spans="1:26" s="378" customFormat="1" ht="27.75" customHeight="1" x14ac:dyDescent="0.25">
      <c r="A100" s="479" t="s">
        <v>411</v>
      </c>
      <c r="B100" s="72" t="s">
        <v>297</v>
      </c>
      <c r="C100" s="23">
        <v>45622</v>
      </c>
      <c r="D100" s="119" t="s">
        <v>106</v>
      </c>
      <c r="E100" s="119" t="s">
        <v>107</v>
      </c>
      <c r="F100" s="119">
        <v>1</v>
      </c>
      <c r="G100" s="120">
        <v>419.99</v>
      </c>
      <c r="H100" s="120">
        <v>327.14</v>
      </c>
      <c r="I100" s="121"/>
      <c r="J100" s="277" t="s">
        <v>614</v>
      </c>
      <c r="K100" s="128" t="s">
        <v>615</v>
      </c>
      <c r="L100" s="402" t="s">
        <v>616</v>
      </c>
      <c r="M100" s="150" t="s">
        <v>617</v>
      </c>
      <c r="N100" s="128" t="s">
        <v>619</v>
      </c>
      <c r="O100" s="128" t="s">
        <v>620</v>
      </c>
      <c r="P100" s="128" t="s">
        <v>621</v>
      </c>
      <c r="Q100" s="128" t="s">
        <v>570</v>
      </c>
      <c r="R100" s="276" t="s">
        <v>622</v>
      </c>
      <c r="S100" s="241">
        <v>45626</v>
      </c>
      <c r="T100" s="435" t="s">
        <v>659</v>
      </c>
      <c r="U100" s="398" t="str">
        <f t="shared" ca="1" si="7"/>
        <v>Fora da garantia</v>
      </c>
      <c r="V100" s="398"/>
      <c r="W100" s="398"/>
      <c r="X100" s="398"/>
      <c r="Y100" s="398"/>
      <c r="Z100" s="398"/>
    </row>
    <row r="101" spans="1:26" s="378" customFormat="1" ht="27.75" customHeight="1" x14ac:dyDescent="0.25">
      <c r="A101" s="479" t="s">
        <v>410</v>
      </c>
      <c r="B101" s="72" t="s">
        <v>297</v>
      </c>
      <c r="C101" s="23">
        <v>45597</v>
      </c>
      <c r="D101" s="119" t="s">
        <v>13</v>
      </c>
      <c r="E101" s="119" t="s">
        <v>12</v>
      </c>
      <c r="F101" s="119">
        <v>1</v>
      </c>
      <c r="G101" s="120">
        <v>380.7</v>
      </c>
      <c r="H101" s="120">
        <v>295.52999999999997</v>
      </c>
      <c r="I101" s="121"/>
      <c r="J101" s="275" t="s">
        <v>623</v>
      </c>
      <c r="K101" s="276" t="s">
        <v>624</v>
      </c>
      <c r="L101" s="276" t="s">
        <v>625</v>
      </c>
      <c r="M101" s="276" t="s">
        <v>1000</v>
      </c>
      <c r="N101" s="278" t="s">
        <v>626</v>
      </c>
      <c r="O101" s="128" t="s">
        <v>494</v>
      </c>
      <c r="P101" s="128" t="s">
        <v>471</v>
      </c>
      <c r="Q101" s="128" t="s">
        <v>570</v>
      </c>
      <c r="R101" s="276" t="s">
        <v>627</v>
      </c>
      <c r="S101" s="241">
        <v>45609</v>
      </c>
      <c r="T101" s="435" t="s">
        <v>660</v>
      </c>
      <c r="U101" s="398" t="str">
        <f t="shared" ca="1" si="7"/>
        <v>Fora da garantia</v>
      </c>
      <c r="V101" s="398"/>
      <c r="W101" s="398"/>
      <c r="X101" s="398"/>
      <c r="Y101" s="398"/>
      <c r="Z101" s="398"/>
    </row>
    <row r="102" spans="1:26" s="378" customFormat="1" ht="27.75" customHeight="1" x14ac:dyDescent="0.25">
      <c r="A102" s="479" t="s">
        <v>409</v>
      </c>
      <c r="B102" s="72" t="s">
        <v>297</v>
      </c>
      <c r="C102" s="23">
        <v>45579</v>
      </c>
      <c r="D102" s="119" t="s">
        <v>177</v>
      </c>
      <c r="E102" s="119" t="s">
        <v>176</v>
      </c>
      <c r="F102" s="119">
        <v>1</v>
      </c>
      <c r="G102" s="120">
        <v>373.1</v>
      </c>
      <c r="H102" s="120">
        <v>284.72000000000003</v>
      </c>
      <c r="I102" s="121"/>
      <c r="J102" s="277" t="s">
        <v>628</v>
      </c>
      <c r="K102" s="276" t="s">
        <v>629</v>
      </c>
      <c r="L102" s="276" t="s">
        <v>630</v>
      </c>
      <c r="M102" s="276" t="s">
        <v>999</v>
      </c>
      <c r="N102" s="276" t="s">
        <v>631</v>
      </c>
      <c r="O102" s="276" t="s">
        <v>632</v>
      </c>
      <c r="P102" s="128" t="s">
        <v>471</v>
      </c>
      <c r="Q102" s="128" t="s">
        <v>570</v>
      </c>
      <c r="R102" s="276" t="s">
        <v>633</v>
      </c>
      <c r="S102" s="241">
        <v>45581</v>
      </c>
      <c r="T102" s="435" t="s">
        <v>661</v>
      </c>
      <c r="U102" s="398" t="str">
        <f t="shared" ca="1" si="7"/>
        <v>Fora da garantia</v>
      </c>
      <c r="V102" s="398"/>
      <c r="W102" s="398"/>
      <c r="X102" s="398"/>
      <c r="Y102" s="398"/>
      <c r="Z102" s="398"/>
    </row>
    <row r="103" spans="1:26" s="378" customFormat="1" ht="27.75" customHeight="1" x14ac:dyDescent="0.25">
      <c r="A103" s="479" t="s">
        <v>407</v>
      </c>
      <c r="B103" s="72" t="s">
        <v>297</v>
      </c>
      <c r="C103" s="23">
        <v>45561</v>
      </c>
      <c r="D103" s="119" t="s">
        <v>11</v>
      </c>
      <c r="E103" s="119" t="s">
        <v>10</v>
      </c>
      <c r="F103" s="119">
        <v>1</v>
      </c>
      <c r="G103" s="120">
        <v>197.5</v>
      </c>
      <c r="H103" s="120">
        <v>142.47</v>
      </c>
      <c r="I103" s="121"/>
      <c r="J103" s="275" t="s">
        <v>671</v>
      </c>
      <c r="K103" s="276" t="s">
        <v>672</v>
      </c>
      <c r="L103" s="402" t="s">
        <v>673</v>
      </c>
      <c r="M103" s="276" t="s">
        <v>674</v>
      </c>
      <c r="N103" s="278" t="s">
        <v>675</v>
      </c>
      <c r="O103" s="276" t="s">
        <v>676</v>
      </c>
      <c r="P103" s="128" t="s">
        <v>677</v>
      </c>
      <c r="Q103" s="276" t="s">
        <v>570</v>
      </c>
      <c r="R103" s="276" t="s">
        <v>678</v>
      </c>
      <c r="S103" s="241">
        <v>45565</v>
      </c>
      <c r="T103" s="435" t="s">
        <v>679</v>
      </c>
      <c r="U103" s="398" t="str">
        <f t="shared" ca="1" si="7"/>
        <v>Fora da garantia</v>
      </c>
      <c r="V103" s="398"/>
      <c r="W103" s="398"/>
      <c r="X103" s="398"/>
      <c r="Y103" s="398"/>
      <c r="Z103" s="398"/>
    </row>
    <row r="104" spans="1:26" s="378" customFormat="1" ht="27.75" customHeight="1" x14ac:dyDescent="0.25">
      <c r="A104" s="479" t="s">
        <v>408</v>
      </c>
      <c r="B104" s="72" t="s">
        <v>297</v>
      </c>
      <c r="C104" s="23">
        <v>45561</v>
      </c>
      <c r="D104" s="119" t="s">
        <v>31</v>
      </c>
      <c r="E104" s="119" t="s">
        <v>30</v>
      </c>
      <c r="F104" s="119">
        <v>6</v>
      </c>
      <c r="G104" s="120">
        <v>19.989999999999998</v>
      </c>
      <c r="H104" s="120">
        <v>69.540000000000006</v>
      </c>
      <c r="I104" s="121"/>
      <c r="J104" s="349" t="s">
        <v>663</v>
      </c>
      <c r="K104" s="276" t="s">
        <v>664</v>
      </c>
      <c r="L104" s="276" t="s">
        <v>665</v>
      </c>
      <c r="M104" s="276" t="s">
        <v>666</v>
      </c>
      <c r="N104" s="125"/>
      <c r="O104" s="128" t="s">
        <v>667</v>
      </c>
      <c r="P104" s="128" t="s">
        <v>668</v>
      </c>
      <c r="Q104" s="276" t="s">
        <v>570</v>
      </c>
      <c r="R104" s="276" t="s">
        <v>669</v>
      </c>
      <c r="S104" s="241">
        <v>45567</v>
      </c>
      <c r="T104" s="435" t="s">
        <v>670</v>
      </c>
      <c r="U104" s="398" t="str">
        <f t="shared" ca="1" si="7"/>
        <v>Fora da garantia</v>
      </c>
      <c r="V104" s="398"/>
      <c r="W104" s="398"/>
      <c r="X104" s="398"/>
      <c r="Y104" s="398"/>
      <c r="Z104" s="398"/>
    </row>
    <row r="105" spans="1:26" s="378" customFormat="1" ht="27.75" customHeight="1" x14ac:dyDescent="0.25">
      <c r="A105" s="479" t="s">
        <v>406</v>
      </c>
      <c r="B105" s="72" t="s">
        <v>297</v>
      </c>
      <c r="C105" s="23">
        <v>45558</v>
      </c>
      <c r="D105" s="119" t="s">
        <v>15</v>
      </c>
      <c r="E105" s="119" t="s">
        <v>1309</v>
      </c>
      <c r="F105" s="119">
        <v>1</v>
      </c>
      <c r="G105" s="120">
        <v>96.1</v>
      </c>
      <c r="H105" s="120">
        <v>64.12</v>
      </c>
      <c r="I105" s="121"/>
      <c r="J105" s="277" t="s">
        <v>680</v>
      </c>
      <c r="K105" s="128" t="s">
        <v>547</v>
      </c>
      <c r="L105" s="276" t="s">
        <v>681</v>
      </c>
      <c r="M105" s="278" t="s">
        <v>548</v>
      </c>
      <c r="N105" s="278" t="s">
        <v>549</v>
      </c>
      <c r="O105" s="278" t="s">
        <v>682</v>
      </c>
      <c r="P105" s="128" t="s">
        <v>551</v>
      </c>
      <c r="Q105" s="128" t="s">
        <v>570</v>
      </c>
      <c r="R105" s="276" t="s">
        <v>683</v>
      </c>
      <c r="S105" s="241">
        <v>45562</v>
      </c>
      <c r="T105" s="435" t="s">
        <v>684</v>
      </c>
      <c r="U105" s="398" t="str">
        <f t="shared" ca="1" si="7"/>
        <v>Fora da garantia</v>
      </c>
      <c r="V105" s="398"/>
      <c r="W105" s="398"/>
      <c r="X105" s="398"/>
      <c r="Y105" s="398"/>
      <c r="Z105" s="398"/>
    </row>
    <row r="106" spans="1:26" s="378" customFormat="1" ht="27.75" customHeight="1" x14ac:dyDescent="0.25">
      <c r="A106" s="479" t="s">
        <v>405</v>
      </c>
      <c r="B106" s="72" t="s">
        <v>297</v>
      </c>
      <c r="C106" s="23">
        <v>45555</v>
      </c>
      <c r="D106" s="119" t="s">
        <v>183</v>
      </c>
      <c r="E106" s="119" t="s">
        <v>182</v>
      </c>
      <c r="F106" s="119">
        <v>1</v>
      </c>
      <c r="G106" s="120">
        <v>529.99</v>
      </c>
      <c r="H106" s="120">
        <v>397.94</v>
      </c>
      <c r="I106" s="121"/>
      <c r="J106" s="277" t="s">
        <v>685</v>
      </c>
      <c r="K106" s="276" t="s">
        <v>686</v>
      </c>
      <c r="L106" s="276" t="s">
        <v>687</v>
      </c>
      <c r="M106" s="150" t="s">
        <v>689</v>
      </c>
      <c r="N106" s="128" t="s">
        <v>688</v>
      </c>
      <c r="O106" s="128" t="s">
        <v>690</v>
      </c>
      <c r="P106" s="128" t="s">
        <v>471</v>
      </c>
      <c r="Q106" s="128" t="s">
        <v>570</v>
      </c>
      <c r="R106" s="276" t="s">
        <v>691</v>
      </c>
      <c r="S106" s="241">
        <v>45560</v>
      </c>
      <c r="T106" s="435" t="s">
        <v>692</v>
      </c>
      <c r="U106" s="398" t="str">
        <f t="shared" ca="1" si="7"/>
        <v>Fora da garantia</v>
      </c>
      <c r="V106" s="398"/>
      <c r="W106" s="398"/>
      <c r="X106" s="398"/>
      <c r="Y106" s="398"/>
      <c r="Z106" s="398"/>
    </row>
    <row r="107" spans="1:26" s="378" customFormat="1" ht="27.75" customHeight="1" x14ac:dyDescent="0.25">
      <c r="A107" s="479" t="s">
        <v>404</v>
      </c>
      <c r="B107" s="72" t="s">
        <v>297</v>
      </c>
      <c r="C107" s="23">
        <v>45552</v>
      </c>
      <c r="D107" s="119" t="s">
        <v>31</v>
      </c>
      <c r="E107" s="119" t="s">
        <v>30</v>
      </c>
      <c r="F107" s="119">
        <v>5</v>
      </c>
      <c r="G107" s="120">
        <v>15.99</v>
      </c>
      <c r="H107" s="120">
        <v>40.35</v>
      </c>
      <c r="I107" s="121"/>
      <c r="J107" s="275" t="s">
        <v>693</v>
      </c>
      <c r="K107" s="128" t="s">
        <v>694</v>
      </c>
      <c r="L107" s="276" t="s">
        <v>695</v>
      </c>
      <c r="M107" s="150" t="s">
        <v>697</v>
      </c>
      <c r="N107" s="278" t="s">
        <v>696</v>
      </c>
      <c r="O107" s="128" t="s">
        <v>494</v>
      </c>
      <c r="P107" s="128" t="s">
        <v>471</v>
      </c>
      <c r="Q107" s="128" t="s">
        <v>570</v>
      </c>
      <c r="R107" s="276" t="s">
        <v>698</v>
      </c>
      <c r="S107" s="241">
        <v>45558</v>
      </c>
      <c r="T107" s="435" t="s">
        <v>699</v>
      </c>
      <c r="U107" s="398" t="str">
        <f t="shared" ca="1" si="7"/>
        <v>Fora da garantia</v>
      </c>
      <c r="V107" s="398"/>
      <c r="W107" s="398"/>
      <c r="X107" s="398"/>
      <c r="Y107" s="398"/>
      <c r="Z107" s="398"/>
    </row>
    <row r="108" spans="1:26" s="378" customFormat="1" ht="27.75" customHeight="1" x14ac:dyDescent="0.25">
      <c r="A108" s="479" t="s">
        <v>402</v>
      </c>
      <c r="B108" s="72" t="s">
        <v>297</v>
      </c>
      <c r="C108" s="23">
        <v>45551</v>
      </c>
      <c r="D108" s="119" t="s">
        <v>106</v>
      </c>
      <c r="E108" s="119" t="s">
        <v>107</v>
      </c>
      <c r="F108" s="119">
        <v>1</v>
      </c>
      <c r="G108" s="120">
        <v>419.99</v>
      </c>
      <c r="H108" s="120">
        <v>327.14</v>
      </c>
      <c r="I108" s="121"/>
      <c r="J108" s="275" t="s">
        <v>700</v>
      </c>
      <c r="K108" s="128" t="s">
        <v>701</v>
      </c>
      <c r="L108" s="402" t="s">
        <v>702</v>
      </c>
      <c r="M108" s="150" t="s">
        <v>703</v>
      </c>
      <c r="N108" s="125"/>
      <c r="O108" s="128" t="s">
        <v>704</v>
      </c>
      <c r="P108" s="128" t="s">
        <v>705</v>
      </c>
      <c r="Q108" s="128" t="s">
        <v>570</v>
      </c>
      <c r="R108" s="276" t="s">
        <v>706</v>
      </c>
      <c r="S108" s="241">
        <v>45560</v>
      </c>
      <c r="T108" s="435" t="s">
        <v>707</v>
      </c>
      <c r="U108" s="398" t="str">
        <f t="shared" ca="1" si="7"/>
        <v>Fora da garantia</v>
      </c>
      <c r="V108" s="398"/>
      <c r="W108" s="398"/>
      <c r="X108" s="398"/>
      <c r="Y108" s="398"/>
      <c r="Z108" s="398"/>
    </row>
    <row r="109" spans="1:26" s="378" customFormat="1" ht="27.75" customHeight="1" x14ac:dyDescent="0.25">
      <c r="A109" s="479" t="s">
        <v>403</v>
      </c>
      <c r="B109" s="72" t="s">
        <v>297</v>
      </c>
      <c r="C109" s="23">
        <v>45551</v>
      </c>
      <c r="D109" s="119" t="s">
        <v>9</v>
      </c>
      <c r="E109" s="119" t="s">
        <v>8</v>
      </c>
      <c r="F109" s="119">
        <v>1</v>
      </c>
      <c r="G109" s="120">
        <v>2280</v>
      </c>
      <c r="H109" s="120">
        <v>1892.4</v>
      </c>
      <c r="I109" s="121"/>
      <c r="J109" s="275" t="s">
        <v>708</v>
      </c>
      <c r="K109" s="128" t="s">
        <v>709</v>
      </c>
      <c r="L109" s="402" t="s">
        <v>710</v>
      </c>
      <c r="M109" s="150" t="s">
        <v>711</v>
      </c>
      <c r="N109" s="128" t="s">
        <v>712</v>
      </c>
      <c r="O109" s="128" t="s">
        <v>713</v>
      </c>
      <c r="P109" s="128" t="s">
        <v>490</v>
      </c>
      <c r="Q109" s="128" t="s">
        <v>570</v>
      </c>
      <c r="R109" s="128"/>
      <c r="S109" s="241">
        <v>45554</v>
      </c>
      <c r="T109" s="435"/>
      <c r="U109" s="398" t="str">
        <f t="shared" ca="1" si="7"/>
        <v>Fora da garantia</v>
      </c>
      <c r="V109" s="398"/>
      <c r="W109" s="398"/>
      <c r="X109" s="398"/>
      <c r="Y109" s="398"/>
      <c r="Z109" s="398"/>
    </row>
    <row r="110" spans="1:26" s="378" customFormat="1" ht="27.75" customHeight="1" x14ac:dyDescent="0.25">
      <c r="A110" s="479" t="s">
        <v>401</v>
      </c>
      <c r="B110" s="72" t="s">
        <v>297</v>
      </c>
      <c r="C110" s="23">
        <v>45547</v>
      </c>
      <c r="D110" s="119" t="s">
        <v>109</v>
      </c>
      <c r="E110" s="119" t="s">
        <v>108</v>
      </c>
      <c r="F110" s="119">
        <v>1</v>
      </c>
      <c r="G110" s="120">
        <v>269.99</v>
      </c>
      <c r="H110" s="120">
        <v>202.64</v>
      </c>
      <c r="I110" s="121"/>
      <c r="J110" s="277" t="s">
        <v>714</v>
      </c>
      <c r="K110" s="128" t="s">
        <v>715</v>
      </c>
      <c r="L110" s="276" t="s">
        <v>716</v>
      </c>
      <c r="M110" s="150" t="s">
        <v>718</v>
      </c>
      <c r="N110" s="278" t="s">
        <v>717</v>
      </c>
      <c r="O110" s="278" t="s">
        <v>719</v>
      </c>
      <c r="P110" s="128" t="s">
        <v>519</v>
      </c>
      <c r="Q110" s="128" t="s">
        <v>570</v>
      </c>
      <c r="R110" s="276" t="s">
        <v>720</v>
      </c>
      <c r="S110" s="241">
        <v>45553</v>
      </c>
      <c r="T110" s="435" t="s">
        <v>721</v>
      </c>
      <c r="U110" s="398" t="str">
        <f t="shared" ca="1" si="7"/>
        <v>Fora da garantia</v>
      </c>
      <c r="V110" s="398"/>
      <c r="W110" s="398"/>
      <c r="X110" s="398"/>
      <c r="Y110" s="398"/>
      <c r="Z110" s="398"/>
    </row>
    <row r="111" spans="1:26" s="378" customFormat="1" ht="27.75" customHeight="1" x14ac:dyDescent="0.25">
      <c r="A111" s="479" t="s">
        <v>400</v>
      </c>
      <c r="B111" s="72" t="s">
        <v>297</v>
      </c>
      <c r="C111" s="23">
        <v>45545</v>
      </c>
      <c r="D111" s="119" t="s">
        <v>171</v>
      </c>
      <c r="E111" s="119" t="s">
        <v>170</v>
      </c>
      <c r="F111" s="119">
        <v>1</v>
      </c>
      <c r="G111" s="120">
        <v>1599.99</v>
      </c>
      <c r="H111" s="120">
        <v>1306.54</v>
      </c>
      <c r="I111" s="121"/>
      <c r="J111" s="277" t="s">
        <v>722</v>
      </c>
      <c r="K111" s="128" t="s">
        <v>723</v>
      </c>
      <c r="L111" s="402" t="s">
        <v>724</v>
      </c>
      <c r="M111" s="276" t="s">
        <v>725</v>
      </c>
      <c r="N111" s="128" t="s">
        <v>726</v>
      </c>
      <c r="O111" s="276" t="s">
        <v>727</v>
      </c>
      <c r="P111" s="128" t="s">
        <v>513</v>
      </c>
      <c r="Q111" s="128" t="s">
        <v>570</v>
      </c>
      <c r="R111" s="276" t="s">
        <v>728</v>
      </c>
      <c r="S111" s="241">
        <v>45551</v>
      </c>
      <c r="T111" s="435" t="s">
        <v>729</v>
      </c>
      <c r="U111" s="398" t="str">
        <f t="shared" ca="1" si="7"/>
        <v>Fora da garantia</v>
      </c>
      <c r="V111" s="398"/>
      <c r="W111" s="398"/>
      <c r="X111" s="398"/>
      <c r="Y111" s="398"/>
      <c r="Z111" s="398"/>
    </row>
    <row r="112" spans="1:26" s="378" customFormat="1" ht="27.75" customHeight="1" x14ac:dyDescent="0.25">
      <c r="A112" s="479" t="s">
        <v>399</v>
      </c>
      <c r="B112" s="72" t="s">
        <v>297</v>
      </c>
      <c r="C112" s="23">
        <v>45519</v>
      </c>
      <c r="D112" s="119" t="s">
        <v>11</v>
      </c>
      <c r="E112" s="119" t="s">
        <v>10</v>
      </c>
      <c r="F112" s="119">
        <v>1</v>
      </c>
      <c r="G112" s="120">
        <v>199.99</v>
      </c>
      <c r="H112" s="120">
        <v>144.54</v>
      </c>
      <c r="I112" s="121"/>
      <c r="J112" s="275" t="s">
        <v>730</v>
      </c>
      <c r="K112" s="128" t="s">
        <v>731</v>
      </c>
      <c r="L112" s="276" t="s">
        <v>732</v>
      </c>
      <c r="M112" s="150" t="s">
        <v>733</v>
      </c>
      <c r="N112" s="278" t="s">
        <v>734</v>
      </c>
      <c r="O112" s="276" t="s">
        <v>736</v>
      </c>
      <c r="P112" s="128" t="s">
        <v>735</v>
      </c>
      <c r="Q112" s="128" t="s">
        <v>570</v>
      </c>
      <c r="R112" s="276" t="s">
        <v>737</v>
      </c>
      <c r="S112" s="241">
        <v>45524</v>
      </c>
      <c r="T112" s="435" t="s">
        <v>738</v>
      </c>
      <c r="U112" s="398" t="str">
        <f t="shared" ca="1" si="7"/>
        <v>Fora da garantia</v>
      </c>
      <c r="V112" s="398"/>
      <c r="W112" s="398"/>
      <c r="X112" s="398"/>
      <c r="Y112" s="398"/>
      <c r="Z112" s="398"/>
    </row>
    <row r="113" spans="1:26" s="378" customFormat="1" ht="27.75" customHeight="1" x14ac:dyDescent="0.25">
      <c r="A113" s="479" t="s">
        <v>398</v>
      </c>
      <c r="B113" s="72" t="s">
        <v>355</v>
      </c>
      <c r="C113" s="23">
        <v>45507</v>
      </c>
      <c r="D113" s="119" t="s">
        <v>11</v>
      </c>
      <c r="E113" s="119"/>
      <c r="F113" s="119">
        <v>1</v>
      </c>
      <c r="G113" s="120">
        <v>119.99</v>
      </c>
      <c r="H113" s="120">
        <v>78.14</v>
      </c>
      <c r="I113" s="121"/>
      <c r="J113" s="277" t="s">
        <v>739</v>
      </c>
      <c r="K113" s="128" t="s">
        <v>740</v>
      </c>
      <c r="L113" s="402" t="s">
        <v>741</v>
      </c>
      <c r="M113" s="150" t="s">
        <v>742</v>
      </c>
      <c r="N113" s="128" t="s">
        <v>498</v>
      </c>
      <c r="O113" s="276" t="s">
        <v>743</v>
      </c>
      <c r="P113" s="128" t="s">
        <v>471</v>
      </c>
      <c r="Q113" s="128" t="s">
        <v>570</v>
      </c>
      <c r="R113" s="276" t="s">
        <v>744</v>
      </c>
      <c r="S113" s="241">
        <v>45523</v>
      </c>
      <c r="T113" s="436" t="s">
        <v>745</v>
      </c>
      <c r="U113" s="398" t="str">
        <f t="shared" ca="1" si="7"/>
        <v>Fora da garantia</v>
      </c>
      <c r="V113" s="398"/>
      <c r="W113" s="398"/>
      <c r="X113" s="398"/>
      <c r="Y113" s="398"/>
      <c r="Z113" s="398"/>
    </row>
    <row r="114" spans="1:26" s="378" customFormat="1" ht="27.75" customHeight="1" x14ac:dyDescent="0.25">
      <c r="A114" s="479" t="s">
        <v>397</v>
      </c>
      <c r="B114" s="72" t="s">
        <v>297</v>
      </c>
      <c r="C114" s="23">
        <v>45497</v>
      </c>
      <c r="D114" s="119" t="s">
        <v>175</v>
      </c>
      <c r="E114" s="119" t="s">
        <v>174</v>
      </c>
      <c r="F114" s="119">
        <v>2</v>
      </c>
      <c r="G114" s="120">
        <v>322.86</v>
      </c>
      <c r="H114" s="120">
        <v>495.04</v>
      </c>
      <c r="I114" s="121"/>
      <c r="J114" s="275" t="s">
        <v>746</v>
      </c>
      <c r="K114" s="128" t="s">
        <v>747</v>
      </c>
      <c r="L114" s="402" t="s">
        <v>748</v>
      </c>
      <c r="M114" s="150" t="s">
        <v>749</v>
      </c>
      <c r="N114" s="128" t="s">
        <v>712</v>
      </c>
      <c r="O114" s="128" t="s">
        <v>713</v>
      </c>
      <c r="P114" s="128" t="s">
        <v>490</v>
      </c>
      <c r="Q114" s="128" t="s">
        <v>570</v>
      </c>
      <c r="R114" s="276" t="s">
        <v>750</v>
      </c>
      <c r="S114" s="241">
        <v>45499</v>
      </c>
      <c r="T114" s="435" t="s">
        <v>751</v>
      </c>
      <c r="U114" s="398" t="str">
        <f t="shared" ca="1" si="7"/>
        <v>Fora da garantia</v>
      </c>
      <c r="V114" s="398"/>
      <c r="W114" s="398"/>
      <c r="X114" s="398"/>
      <c r="Y114" s="398"/>
      <c r="Z114" s="398"/>
    </row>
    <row r="115" spans="1:26" s="378" customFormat="1" ht="27.75" customHeight="1" x14ac:dyDescent="0.25">
      <c r="A115" s="479" t="s">
        <v>396</v>
      </c>
      <c r="B115" s="72" t="s">
        <v>355</v>
      </c>
      <c r="C115" s="23">
        <v>45482</v>
      </c>
      <c r="D115" s="119" t="s">
        <v>43</v>
      </c>
      <c r="E115" s="119"/>
      <c r="F115" s="119">
        <v>1</v>
      </c>
      <c r="G115" s="120">
        <v>2220.39</v>
      </c>
      <c r="H115" s="120">
        <v>-1800.97</v>
      </c>
      <c r="I115" s="121"/>
      <c r="J115" s="275" t="s">
        <v>752</v>
      </c>
      <c r="K115" s="128" t="s">
        <v>753</v>
      </c>
      <c r="L115" s="235"/>
      <c r="M115" s="234"/>
      <c r="N115" s="221"/>
      <c r="O115" s="221"/>
      <c r="P115" s="221"/>
      <c r="Q115" s="221"/>
      <c r="R115" s="223"/>
      <c r="S115" s="279">
        <v>45496</v>
      </c>
      <c r="T115" s="436" t="s">
        <v>754</v>
      </c>
      <c r="U115" s="398" t="str">
        <f t="shared" ca="1" si="7"/>
        <v>Fora da garantia</v>
      </c>
      <c r="V115" s="398"/>
      <c r="W115" s="398"/>
      <c r="X115" s="398"/>
      <c r="Y115" s="398"/>
      <c r="Z115" s="398"/>
    </row>
    <row r="116" spans="1:26" s="378" customFormat="1" ht="27.75" customHeight="1" x14ac:dyDescent="0.25">
      <c r="A116" s="479" t="s">
        <v>395</v>
      </c>
      <c r="B116" s="72" t="s">
        <v>355</v>
      </c>
      <c r="C116" s="23">
        <v>45481</v>
      </c>
      <c r="D116" s="119" t="s">
        <v>165</v>
      </c>
      <c r="E116" s="119"/>
      <c r="F116" s="119">
        <v>1</v>
      </c>
      <c r="G116" s="120">
        <v>94.65</v>
      </c>
      <c r="H116" s="120">
        <v>-56.61</v>
      </c>
      <c r="I116" s="121"/>
      <c r="J116" s="277" t="s">
        <v>755</v>
      </c>
      <c r="K116" s="128" t="s">
        <v>756</v>
      </c>
      <c r="L116" s="235"/>
      <c r="M116" s="234"/>
      <c r="N116" s="221"/>
      <c r="O116" s="221"/>
      <c r="P116" s="221"/>
      <c r="Q116" s="221"/>
      <c r="R116" s="223"/>
      <c r="S116" s="241">
        <v>45496</v>
      </c>
      <c r="T116" s="436" t="s">
        <v>757</v>
      </c>
      <c r="U116" s="398" t="str">
        <f t="shared" ca="1" si="7"/>
        <v>Fora da garantia</v>
      </c>
      <c r="V116" s="398"/>
      <c r="W116" s="398"/>
      <c r="X116" s="398"/>
      <c r="Y116" s="398"/>
      <c r="Z116" s="398"/>
    </row>
    <row r="117" spans="1:26" s="378" customFormat="1" ht="27.75" customHeight="1" x14ac:dyDescent="0.2">
      <c r="A117" s="479" t="s">
        <v>394</v>
      </c>
      <c r="B117" s="72" t="s">
        <v>297</v>
      </c>
      <c r="C117" s="23">
        <v>45467</v>
      </c>
      <c r="D117" s="119" t="s">
        <v>9</v>
      </c>
      <c r="E117" s="404" t="s">
        <v>8</v>
      </c>
      <c r="F117" s="119">
        <v>1</v>
      </c>
      <c r="G117" s="120">
        <v>2134.39</v>
      </c>
      <c r="H117" s="120">
        <v>1746.59</v>
      </c>
      <c r="I117" s="121"/>
      <c r="J117" s="277" t="s">
        <v>758</v>
      </c>
      <c r="K117" s="128" t="s">
        <v>759</v>
      </c>
      <c r="L117" s="402" t="s">
        <v>760</v>
      </c>
      <c r="M117" s="150" t="s">
        <v>776</v>
      </c>
      <c r="N117" s="128" t="s">
        <v>761</v>
      </c>
      <c r="O117" s="128" t="s">
        <v>762</v>
      </c>
      <c r="P117" s="128" t="s">
        <v>519</v>
      </c>
      <c r="Q117" s="128" t="s">
        <v>570</v>
      </c>
      <c r="R117" s="276" t="s">
        <v>763</v>
      </c>
      <c r="S117" s="241">
        <v>45477</v>
      </c>
      <c r="T117" s="435" t="s">
        <v>764</v>
      </c>
      <c r="U117" s="398" t="str">
        <f t="shared" ca="1" si="7"/>
        <v>Fora da garantia</v>
      </c>
      <c r="V117" s="398"/>
      <c r="W117" s="398"/>
      <c r="X117" s="398"/>
      <c r="Y117" s="398"/>
      <c r="Z117" s="398"/>
    </row>
    <row r="118" spans="1:26" s="378" customFormat="1" ht="27.75" customHeight="1" x14ac:dyDescent="0.25">
      <c r="A118" s="479" t="s">
        <v>393</v>
      </c>
      <c r="B118" s="72" t="s">
        <v>297</v>
      </c>
      <c r="C118" s="23">
        <v>45465</v>
      </c>
      <c r="D118" s="119" t="s">
        <v>165</v>
      </c>
      <c r="E118" s="119" t="s">
        <v>164</v>
      </c>
      <c r="F118" s="119">
        <v>1</v>
      </c>
      <c r="G118" s="120">
        <v>98.43</v>
      </c>
      <c r="H118" s="120">
        <v>59.75</v>
      </c>
      <c r="I118" s="121"/>
      <c r="J118" s="277" t="s">
        <v>765</v>
      </c>
      <c r="K118" s="276" t="s">
        <v>766</v>
      </c>
      <c r="L118" s="276" t="s">
        <v>767</v>
      </c>
      <c r="M118" s="276" t="s">
        <v>775</v>
      </c>
      <c r="N118" s="276" t="s">
        <v>768</v>
      </c>
      <c r="O118" s="276" t="s">
        <v>593</v>
      </c>
      <c r="P118" s="128" t="s">
        <v>513</v>
      </c>
      <c r="Q118" s="128" t="s">
        <v>570</v>
      </c>
      <c r="R118" s="276" t="s">
        <v>769</v>
      </c>
      <c r="S118" s="241">
        <v>45474</v>
      </c>
      <c r="T118" s="435" t="s">
        <v>770</v>
      </c>
      <c r="U118" s="398" t="str">
        <f t="shared" ca="1" si="7"/>
        <v>Fora da garantia</v>
      </c>
      <c r="V118" s="398"/>
      <c r="W118" s="398"/>
      <c r="X118" s="398"/>
      <c r="Y118" s="398"/>
      <c r="Z118" s="398"/>
    </row>
    <row r="119" spans="1:26" s="378" customFormat="1" ht="27.75" customHeight="1" x14ac:dyDescent="0.25">
      <c r="A119" s="479" t="s">
        <v>391</v>
      </c>
      <c r="B119" s="72" t="s">
        <v>297</v>
      </c>
      <c r="C119" s="23">
        <v>45464</v>
      </c>
      <c r="D119" s="119" t="s">
        <v>165</v>
      </c>
      <c r="E119" s="119" t="s">
        <v>164</v>
      </c>
      <c r="F119" s="119">
        <v>2</v>
      </c>
      <c r="G119" s="120">
        <v>98.43</v>
      </c>
      <c r="H119" s="120">
        <v>119.5</v>
      </c>
      <c r="I119" s="121"/>
      <c r="J119" s="277" t="s">
        <v>771</v>
      </c>
      <c r="K119" s="128" t="s">
        <v>772</v>
      </c>
      <c r="L119" s="402" t="s">
        <v>773</v>
      </c>
      <c r="M119" s="150" t="s">
        <v>774</v>
      </c>
      <c r="N119" s="128" t="s">
        <v>777</v>
      </c>
      <c r="O119" s="276" t="s">
        <v>778</v>
      </c>
      <c r="P119" s="128" t="s">
        <v>471</v>
      </c>
      <c r="Q119" s="128" t="s">
        <v>570</v>
      </c>
      <c r="R119" s="276" t="s">
        <v>779</v>
      </c>
      <c r="S119" s="241">
        <v>45472</v>
      </c>
      <c r="T119" s="435" t="s">
        <v>780</v>
      </c>
      <c r="U119" s="398" t="str">
        <f t="shared" ca="1" si="7"/>
        <v>Fora da garantia</v>
      </c>
      <c r="V119" s="398"/>
      <c r="W119" s="398"/>
      <c r="X119" s="398"/>
      <c r="Y119" s="398"/>
      <c r="Z119" s="398"/>
    </row>
    <row r="120" spans="1:26" s="378" customFormat="1" ht="27.75" customHeight="1" x14ac:dyDescent="0.25">
      <c r="A120" s="479" t="s">
        <v>392</v>
      </c>
      <c r="B120" s="72" t="s">
        <v>297</v>
      </c>
      <c r="C120" s="23">
        <v>45464</v>
      </c>
      <c r="D120" s="119" t="s">
        <v>165</v>
      </c>
      <c r="E120" s="119" t="s">
        <v>164</v>
      </c>
      <c r="F120" s="119">
        <v>1</v>
      </c>
      <c r="G120" s="120">
        <v>98.43</v>
      </c>
      <c r="H120" s="120">
        <v>59.75</v>
      </c>
      <c r="I120" s="121"/>
      <c r="J120" s="275" t="s">
        <v>781</v>
      </c>
      <c r="K120" s="276" t="s">
        <v>782</v>
      </c>
      <c r="L120" s="276" t="s">
        <v>783</v>
      </c>
      <c r="M120" s="276" t="s">
        <v>784</v>
      </c>
      <c r="N120" s="276" t="s">
        <v>785</v>
      </c>
      <c r="O120" s="276" t="s">
        <v>786</v>
      </c>
      <c r="P120" s="128" t="s">
        <v>513</v>
      </c>
      <c r="Q120" s="128" t="s">
        <v>570</v>
      </c>
      <c r="R120" s="276" t="s">
        <v>787</v>
      </c>
      <c r="S120" s="241">
        <v>45467</v>
      </c>
      <c r="T120" s="435" t="s">
        <v>788</v>
      </c>
      <c r="U120" s="398" t="str">
        <f t="shared" ca="1" si="7"/>
        <v>Fora da garantia</v>
      </c>
      <c r="V120" s="398"/>
      <c r="W120" s="398"/>
      <c r="X120" s="398"/>
      <c r="Y120" s="398"/>
      <c r="Z120" s="398"/>
    </row>
    <row r="121" spans="1:26" s="378" customFormat="1" ht="27.75" customHeight="1" x14ac:dyDescent="0.25">
      <c r="A121" s="479" t="s">
        <v>388</v>
      </c>
      <c r="B121" s="72" t="s">
        <v>297</v>
      </c>
      <c r="C121" s="23">
        <v>45463</v>
      </c>
      <c r="D121" s="119" t="s">
        <v>165</v>
      </c>
      <c r="E121" s="119" t="s">
        <v>164</v>
      </c>
      <c r="F121" s="119">
        <v>1</v>
      </c>
      <c r="G121" s="120">
        <v>98.43</v>
      </c>
      <c r="H121" s="120">
        <v>59.75</v>
      </c>
      <c r="I121" s="121"/>
      <c r="J121" s="277" t="s">
        <v>806</v>
      </c>
      <c r="K121" s="276" t="s">
        <v>807</v>
      </c>
      <c r="L121" s="402" t="s">
        <v>808</v>
      </c>
      <c r="M121" s="150" t="s">
        <v>810</v>
      </c>
      <c r="N121" s="276" t="s">
        <v>809</v>
      </c>
      <c r="O121" s="276" t="s">
        <v>778</v>
      </c>
      <c r="P121" s="128" t="s">
        <v>471</v>
      </c>
      <c r="Q121" s="128" t="s">
        <v>570</v>
      </c>
      <c r="R121" s="276" t="s">
        <v>811</v>
      </c>
      <c r="S121" s="241">
        <v>45464</v>
      </c>
      <c r="T121" s="435" t="s">
        <v>812</v>
      </c>
      <c r="U121" s="398" t="str">
        <f t="shared" ca="1" si="7"/>
        <v>Fora da garantia</v>
      </c>
      <c r="V121" s="398"/>
      <c r="W121" s="398"/>
      <c r="X121" s="398"/>
      <c r="Y121" s="398"/>
      <c r="Z121" s="398"/>
    </row>
    <row r="122" spans="1:26" s="378" customFormat="1" ht="27.75" customHeight="1" x14ac:dyDescent="0.25">
      <c r="A122" s="479" t="s">
        <v>389</v>
      </c>
      <c r="B122" s="72" t="s">
        <v>297</v>
      </c>
      <c r="C122" s="23">
        <v>45463</v>
      </c>
      <c r="D122" s="119" t="s">
        <v>183</v>
      </c>
      <c r="E122" s="119" t="s">
        <v>182</v>
      </c>
      <c r="F122" s="119">
        <v>1</v>
      </c>
      <c r="G122" s="120">
        <v>529.99</v>
      </c>
      <c r="H122" s="120">
        <v>414.94</v>
      </c>
      <c r="I122" s="121"/>
      <c r="J122" s="277" t="s">
        <v>798</v>
      </c>
      <c r="K122" s="128" t="s">
        <v>799</v>
      </c>
      <c r="L122" s="276" t="s">
        <v>800</v>
      </c>
      <c r="M122" s="276" t="s">
        <v>801</v>
      </c>
      <c r="N122" s="276" t="s">
        <v>802</v>
      </c>
      <c r="O122" s="276" t="s">
        <v>803</v>
      </c>
      <c r="P122" s="128" t="s">
        <v>471</v>
      </c>
      <c r="Q122" s="128" t="s">
        <v>570</v>
      </c>
      <c r="R122" s="276" t="s">
        <v>804</v>
      </c>
      <c r="S122" s="241">
        <v>45468</v>
      </c>
      <c r="T122" s="435" t="s">
        <v>805</v>
      </c>
      <c r="U122" s="398" t="str">
        <f t="shared" ca="1" si="7"/>
        <v>Fora da garantia</v>
      </c>
      <c r="V122" s="398"/>
      <c r="W122" s="398"/>
      <c r="X122" s="398"/>
      <c r="Y122" s="398"/>
      <c r="Z122" s="398"/>
    </row>
    <row r="123" spans="1:26" s="378" customFormat="1" ht="27.75" customHeight="1" x14ac:dyDescent="0.25">
      <c r="A123" s="479" t="s">
        <v>390</v>
      </c>
      <c r="B123" s="72" t="s">
        <v>297</v>
      </c>
      <c r="C123" s="23">
        <v>45463</v>
      </c>
      <c r="D123" s="119" t="s">
        <v>167</v>
      </c>
      <c r="E123" s="119" t="s">
        <v>166</v>
      </c>
      <c r="F123" s="119">
        <v>4</v>
      </c>
      <c r="G123" s="120">
        <v>98.79</v>
      </c>
      <c r="H123" s="120">
        <v>240.2</v>
      </c>
      <c r="I123" s="121"/>
      <c r="J123" s="277" t="s">
        <v>789</v>
      </c>
      <c r="K123" s="128" t="s">
        <v>790</v>
      </c>
      <c r="L123" s="402" t="s">
        <v>791</v>
      </c>
      <c r="M123" s="150" t="s">
        <v>792</v>
      </c>
      <c r="N123" s="276" t="s">
        <v>793</v>
      </c>
      <c r="O123" s="276" t="s">
        <v>794</v>
      </c>
      <c r="P123" s="128" t="s">
        <v>795</v>
      </c>
      <c r="Q123" s="128" t="s">
        <v>570</v>
      </c>
      <c r="R123" s="276" t="s">
        <v>796</v>
      </c>
      <c r="S123" s="241">
        <v>45469</v>
      </c>
      <c r="T123" s="435" t="s">
        <v>797</v>
      </c>
      <c r="U123" s="398" t="str">
        <f t="shared" ca="1" si="7"/>
        <v>Fora da garantia</v>
      </c>
      <c r="V123" s="398"/>
      <c r="W123" s="398"/>
      <c r="X123" s="398"/>
      <c r="Y123" s="398"/>
      <c r="Z123" s="398"/>
    </row>
    <row r="124" spans="1:26" s="378" customFormat="1" ht="27.75" customHeight="1" x14ac:dyDescent="0.25">
      <c r="A124" s="479" t="s">
        <v>387</v>
      </c>
      <c r="B124" s="72" t="s">
        <v>297</v>
      </c>
      <c r="C124" s="23">
        <v>45461</v>
      </c>
      <c r="D124" s="119" t="s">
        <v>177</v>
      </c>
      <c r="E124" s="119" t="s">
        <v>176</v>
      </c>
      <c r="F124" s="119">
        <v>1</v>
      </c>
      <c r="G124" s="120">
        <v>399.99</v>
      </c>
      <c r="H124" s="120">
        <v>306.04000000000002</v>
      </c>
      <c r="I124" s="121"/>
      <c r="J124" s="277" t="s">
        <v>813</v>
      </c>
      <c r="K124" s="128" t="s">
        <v>814</v>
      </c>
      <c r="L124" s="276" t="s">
        <v>815</v>
      </c>
      <c r="M124" s="150" t="s">
        <v>816</v>
      </c>
      <c r="N124" s="276" t="s">
        <v>817</v>
      </c>
      <c r="O124" s="276" t="s">
        <v>818</v>
      </c>
      <c r="P124" s="128" t="s">
        <v>519</v>
      </c>
      <c r="Q124" s="128" t="s">
        <v>570</v>
      </c>
      <c r="R124" s="276" t="s">
        <v>819</v>
      </c>
      <c r="S124" s="241">
        <v>45470</v>
      </c>
      <c r="T124" s="435" t="s">
        <v>820</v>
      </c>
      <c r="U124" s="398" t="str">
        <f t="shared" ca="1" si="7"/>
        <v>Fora da garantia</v>
      </c>
      <c r="V124" s="398"/>
      <c r="W124" s="398"/>
      <c r="X124" s="398"/>
      <c r="Y124" s="398"/>
      <c r="Z124" s="398"/>
    </row>
    <row r="125" spans="1:26" s="378" customFormat="1" ht="27.75" customHeight="1" x14ac:dyDescent="0.25">
      <c r="A125" s="479" t="s">
        <v>386</v>
      </c>
      <c r="B125" s="72" t="s">
        <v>298</v>
      </c>
      <c r="C125" s="23">
        <v>45460</v>
      </c>
      <c r="D125" s="119" t="s">
        <v>167</v>
      </c>
      <c r="E125" s="119"/>
      <c r="F125" s="119">
        <v>1</v>
      </c>
      <c r="G125" s="120">
        <v>98.79</v>
      </c>
      <c r="H125" s="120">
        <v>-82</v>
      </c>
      <c r="I125" s="121" t="s">
        <v>329</v>
      </c>
      <c r="J125" s="275" t="s">
        <v>821</v>
      </c>
      <c r="K125" s="128" t="s">
        <v>822</v>
      </c>
      <c r="L125" s="235"/>
      <c r="M125" s="234"/>
      <c r="N125" s="221"/>
      <c r="O125" s="221"/>
      <c r="P125" s="221"/>
      <c r="Q125" s="221"/>
      <c r="R125" s="223"/>
      <c r="S125" s="242"/>
      <c r="T125" s="433"/>
      <c r="U125" s="398" t="str">
        <f t="shared" ca="1" si="7"/>
        <v/>
      </c>
      <c r="V125" s="398"/>
      <c r="W125" s="398"/>
      <c r="X125" s="398"/>
      <c r="Y125" s="398"/>
      <c r="Z125" s="398"/>
    </row>
    <row r="126" spans="1:26" s="378" customFormat="1" ht="27.75" customHeight="1" x14ac:dyDescent="0.25">
      <c r="A126" s="479" t="s">
        <v>384</v>
      </c>
      <c r="B126" s="72" t="s">
        <v>298</v>
      </c>
      <c r="C126" s="23">
        <v>45459</v>
      </c>
      <c r="D126" s="119" t="s">
        <v>11</v>
      </c>
      <c r="E126" s="119"/>
      <c r="F126" s="119">
        <v>1</v>
      </c>
      <c r="G126" s="120">
        <v>119.99</v>
      </c>
      <c r="H126" s="120">
        <v>-99.59</v>
      </c>
      <c r="I126" s="121" t="s">
        <v>385</v>
      </c>
      <c r="J126" s="275" t="s">
        <v>823</v>
      </c>
      <c r="K126" s="223"/>
      <c r="L126" s="235"/>
      <c r="M126" s="234"/>
      <c r="N126" s="221"/>
      <c r="O126" s="221"/>
      <c r="P126" s="221"/>
      <c r="Q126" s="221"/>
      <c r="R126" s="223"/>
      <c r="S126" s="242"/>
      <c r="T126" s="433"/>
      <c r="U126" s="398" t="str">
        <f t="shared" ca="1" si="7"/>
        <v/>
      </c>
      <c r="V126" s="398"/>
      <c r="W126" s="398"/>
      <c r="X126" s="398"/>
      <c r="Y126" s="398"/>
      <c r="Z126" s="398"/>
    </row>
    <row r="127" spans="1:26" s="378" customFormat="1" ht="27.75" customHeight="1" x14ac:dyDescent="0.25">
      <c r="A127" s="479" t="s">
        <v>382</v>
      </c>
      <c r="B127" s="72" t="s">
        <v>297</v>
      </c>
      <c r="C127" s="23">
        <v>45457</v>
      </c>
      <c r="D127" s="119" t="s">
        <v>19</v>
      </c>
      <c r="E127" s="119" t="s">
        <v>18</v>
      </c>
      <c r="F127" s="119">
        <v>1</v>
      </c>
      <c r="G127" s="120">
        <v>693.37</v>
      </c>
      <c r="H127" s="120">
        <v>552.04999999999995</v>
      </c>
      <c r="I127" s="121"/>
      <c r="J127" s="277" t="s">
        <v>824</v>
      </c>
      <c r="K127" s="276" t="s">
        <v>825</v>
      </c>
      <c r="L127" s="276" t="s">
        <v>826</v>
      </c>
      <c r="M127" s="276" t="s">
        <v>827</v>
      </c>
      <c r="N127" s="276" t="s">
        <v>828</v>
      </c>
      <c r="O127" s="276" t="s">
        <v>644</v>
      </c>
      <c r="P127" s="128" t="s">
        <v>490</v>
      </c>
      <c r="Q127" s="128" t="s">
        <v>570</v>
      </c>
      <c r="R127" s="276" t="s">
        <v>829</v>
      </c>
      <c r="S127" s="241">
        <v>45461</v>
      </c>
      <c r="T127" s="435" t="s">
        <v>830</v>
      </c>
      <c r="U127" s="398" t="str">
        <f t="shared" ref="U127:U186" ca="1" si="8">IF(S127="", "", IF(TODAY() &lt;= DATE(YEAR(S127), MONTH(S127)+3, DAY(S127)), "Em garantia", "Fora da garantia"))</f>
        <v>Fora da garantia</v>
      </c>
      <c r="V127" s="398"/>
      <c r="W127" s="398"/>
      <c r="X127" s="398"/>
      <c r="Y127" s="398"/>
      <c r="Z127" s="398"/>
    </row>
    <row r="128" spans="1:26" s="378" customFormat="1" ht="27.75" customHeight="1" x14ac:dyDescent="0.25">
      <c r="A128" s="479" t="s">
        <v>383</v>
      </c>
      <c r="B128" s="72" t="s">
        <v>297</v>
      </c>
      <c r="C128" s="23">
        <v>45457</v>
      </c>
      <c r="D128" s="119" t="s">
        <v>187</v>
      </c>
      <c r="E128" s="119" t="s">
        <v>186</v>
      </c>
      <c r="F128" s="119">
        <v>1</v>
      </c>
      <c r="G128" s="120">
        <v>433.01</v>
      </c>
      <c r="H128" s="120">
        <v>338.95</v>
      </c>
      <c r="I128" s="121"/>
      <c r="J128" s="277" t="s">
        <v>831</v>
      </c>
      <c r="K128" s="128" t="s">
        <v>832</v>
      </c>
      <c r="L128" s="402" t="s">
        <v>833</v>
      </c>
      <c r="M128" s="150" t="s">
        <v>834</v>
      </c>
      <c r="N128" s="276" t="s">
        <v>835</v>
      </c>
      <c r="O128" s="276" t="s">
        <v>836</v>
      </c>
      <c r="P128" s="128" t="s">
        <v>471</v>
      </c>
      <c r="Q128" s="128" t="s">
        <v>570</v>
      </c>
      <c r="R128" s="276" t="s">
        <v>837</v>
      </c>
      <c r="S128" s="241">
        <v>45462</v>
      </c>
      <c r="T128" s="435" t="s">
        <v>838</v>
      </c>
      <c r="U128" s="398" t="str">
        <f t="shared" ca="1" si="8"/>
        <v>Fora da garantia</v>
      </c>
      <c r="V128" s="398"/>
      <c r="W128" s="398"/>
      <c r="X128" s="398"/>
      <c r="Y128" s="398"/>
      <c r="Z128" s="398"/>
    </row>
    <row r="129" spans="1:26" s="378" customFormat="1" ht="27.75" customHeight="1" x14ac:dyDescent="0.25">
      <c r="A129" s="479" t="s">
        <v>381</v>
      </c>
      <c r="B129" s="72" t="s">
        <v>297</v>
      </c>
      <c r="C129" s="23">
        <v>45456</v>
      </c>
      <c r="D129" s="119" t="s">
        <v>19</v>
      </c>
      <c r="E129" s="119" t="s">
        <v>18</v>
      </c>
      <c r="F129" s="119">
        <v>1</v>
      </c>
      <c r="G129" s="120">
        <v>693.37</v>
      </c>
      <c r="H129" s="120">
        <v>552.04999999999995</v>
      </c>
      <c r="I129" s="121"/>
      <c r="J129" s="277" t="s">
        <v>839</v>
      </c>
      <c r="K129" s="128" t="s">
        <v>840</v>
      </c>
      <c r="L129" s="402" t="s">
        <v>841</v>
      </c>
      <c r="M129" s="150" t="s">
        <v>842</v>
      </c>
      <c r="N129" s="128" t="s">
        <v>843</v>
      </c>
      <c r="O129" s="276" t="s">
        <v>844</v>
      </c>
      <c r="P129" s="128" t="s">
        <v>845</v>
      </c>
      <c r="Q129" s="128" t="s">
        <v>570</v>
      </c>
      <c r="R129" s="276" t="s">
        <v>846</v>
      </c>
      <c r="S129" s="241">
        <v>45460</v>
      </c>
      <c r="T129" s="433"/>
      <c r="U129" s="398" t="str">
        <f t="shared" ca="1" si="8"/>
        <v>Fora da garantia</v>
      </c>
      <c r="V129" s="398"/>
      <c r="W129" s="398"/>
      <c r="X129" s="398"/>
      <c r="Y129" s="398"/>
      <c r="Z129" s="398"/>
    </row>
    <row r="130" spans="1:26" s="378" customFormat="1" ht="27.75" customHeight="1" x14ac:dyDescent="0.25">
      <c r="A130" s="479" t="s">
        <v>378</v>
      </c>
      <c r="B130" s="72" t="s">
        <v>355</v>
      </c>
      <c r="C130" s="23">
        <v>45453</v>
      </c>
      <c r="D130" s="119" t="s">
        <v>379</v>
      </c>
      <c r="E130" s="119"/>
      <c r="F130" s="119">
        <v>1</v>
      </c>
      <c r="G130" s="120">
        <v>227.69</v>
      </c>
      <c r="H130" s="120">
        <v>-165.03</v>
      </c>
      <c r="I130" s="121" t="s">
        <v>380</v>
      </c>
      <c r="J130" s="277" t="s">
        <v>847</v>
      </c>
      <c r="K130" s="128" t="s">
        <v>848</v>
      </c>
      <c r="L130" s="235"/>
      <c r="M130" s="234"/>
      <c r="N130" s="221"/>
      <c r="O130" s="221"/>
      <c r="P130" s="221"/>
      <c r="Q130" s="221"/>
      <c r="R130" s="223"/>
      <c r="S130" s="279">
        <v>45463</v>
      </c>
      <c r="T130" s="433"/>
      <c r="U130" s="398" t="str">
        <f t="shared" ca="1" si="8"/>
        <v>Fora da garantia</v>
      </c>
      <c r="V130" s="398"/>
      <c r="W130" s="398"/>
      <c r="X130" s="398"/>
      <c r="Y130" s="398"/>
      <c r="Z130" s="398"/>
    </row>
    <row r="131" spans="1:26" s="378" customFormat="1" ht="27.75" customHeight="1" x14ac:dyDescent="0.25">
      <c r="A131" s="479" t="s">
        <v>377</v>
      </c>
      <c r="B131" s="72" t="s">
        <v>297</v>
      </c>
      <c r="C131" s="23">
        <v>45451</v>
      </c>
      <c r="D131" s="119" t="s">
        <v>35</v>
      </c>
      <c r="E131" s="119" t="s">
        <v>34</v>
      </c>
      <c r="F131" s="119">
        <v>1</v>
      </c>
      <c r="G131" s="120">
        <v>119.99</v>
      </c>
      <c r="H131" s="120">
        <v>78.64</v>
      </c>
      <c r="I131" s="121"/>
      <c r="J131" s="277" t="s">
        <v>849</v>
      </c>
      <c r="K131" s="128" t="s">
        <v>850</v>
      </c>
      <c r="L131" s="276" t="s">
        <v>851</v>
      </c>
      <c r="M131" s="150" t="s">
        <v>852</v>
      </c>
      <c r="N131" s="276" t="s">
        <v>498</v>
      </c>
      <c r="O131" s="276" t="s">
        <v>853</v>
      </c>
      <c r="P131" s="128" t="s">
        <v>854</v>
      </c>
      <c r="Q131" s="128" t="s">
        <v>570</v>
      </c>
      <c r="R131" s="128" t="s">
        <v>855</v>
      </c>
      <c r="S131" s="241">
        <v>45460</v>
      </c>
      <c r="T131" s="435" t="s">
        <v>856</v>
      </c>
      <c r="U131" s="398" t="str">
        <f t="shared" ca="1" si="8"/>
        <v>Fora da garantia</v>
      </c>
      <c r="V131" s="398"/>
      <c r="W131" s="398"/>
      <c r="X131" s="398"/>
      <c r="Y131" s="398"/>
      <c r="Z131" s="398"/>
    </row>
    <row r="132" spans="1:26" s="378" customFormat="1" ht="27.75" customHeight="1" x14ac:dyDescent="0.25">
      <c r="A132" s="479" t="s">
        <v>375</v>
      </c>
      <c r="B132" s="72" t="s">
        <v>297</v>
      </c>
      <c r="C132" s="23">
        <v>45444</v>
      </c>
      <c r="D132" s="119" t="s">
        <v>636</v>
      </c>
      <c r="E132" s="119" t="s">
        <v>181</v>
      </c>
      <c r="F132" s="119">
        <v>1</v>
      </c>
      <c r="G132" s="120">
        <v>189.99</v>
      </c>
      <c r="H132" s="120">
        <v>135.74</v>
      </c>
      <c r="I132" s="121"/>
      <c r="J132" s="275" t="s">
        <v>857</v>
      </c>
      <c r="K132" s="276" t="s">
        <v>858</v>
      </c>
      <c r="L132" s="276" t="s">
        <v>859</v>
      </c>
      <c r="M132" s="276" t="s">
        <v>860</v>
      </c>
      <c r="N132" s="278" t="s">
        <v>861</v>
      </c>
      <c r="O132" s="128" t="s">
        <v>494</v>
      </c>
      <c r="P132" s="128" t="s">
        <v>471</v>
      </c>
      <c r="Q132" s="128" t="s">
        <v>570</v>
      </c>
      <c r="R132" s="276" t="s">
        <v>862</v>
      </c>
      <c r="S132" s="241">
        <v>45450</v>
      </c>
      <c r="T132" s="435" t="s">
        <v>863</v>
      </c>
      <c r="U132" s="398" t="str">
        <f t="shared" ca="1" si="8"/>
        <v>Fora da garantia</v>
      </c>
      <c r="V132" s="398"/>
      <c r="W132" s="398"/>
      <c r="X132" s="398"/>
      <c r="Y132" s="398"/>
      <c r="Z132" s="398"/>
    </row>
    <row r="133" spans="1:26" s="378" customFormat="1" ht="27.75" customHeight="1" x14ac:dyDescent="0.25">
      <c r="A133" s="479" t="s">
        <v>376</v>
      </c>
      <c r="B133" s="72" t="s">
        <v>297</v>
      </c>
      <c r="C133" s="23">
        <v>45444</v>
      </c>
      <c r="D133" s="119" t="s">
        <v>635</v>
      </c>
      <c r="E133" s="119" t="s">
        <v>164</v>
      </c>
      <c r="F133" s="119">
        <v>2</v>
      </c>
      <c r="G133" s="120">
        <v>189.3</v>
      </c>
      <c r="H133" s="120">
        <v>270.33999999999997</v>
      </c>
      <c r="I133" s="121"/>
      <c r="J133" s="275" t="s">
        <v>864</v>
      </c>
      <c r="K133" s="128" t="s">
        <v>865</v>
      </c>
      <c r="L133" s="276" t="s">
        <v>866</v>
      </c>
      <c r="M133" s="150" t="s">
        <v>867</v>
      </c>
      <c r="N133" s="276" t="s">
        <v>868</v>
      </c>
      <c r="O133" s="276" t="s">
        <v>869</v>
      </c>
      <c r="P133" s="128" t="s">
        <v>551</v>
      </c>
      <c r="Q133" s="128" t="s">
        <v>570</v>
      </c>
      <c r="R133" s="276" t="s">
        <v>875</v>
      </c>
      <c r="S133" s="241">
        <v>45455</v>
      </c>
      <c r="T133" s="435" t="s">
        <v>876</v>
      </c>
      <c r="U133" s="398" t="str">
        <f t="shared" ca="1" si="8"/>
        <v>Fora da garantia</v>
      </c>
      <c r="V133" s="398"/>
      <c r="W133" s="398"/>
      <c r="X133" s="398"/>
      <c r="Y133" s="398"/>
      <c r="Z133" s="398"/>
    </row>
    <row r="134" spans="1:26" s="378" customFormat="1" ht="27.75" customHeight="1" x14ac:dyDescent="0.25">
      <c r="A134" s="479" t="s">
        <v>373</v>
      </c>
      <c r="B134" s="72" t="s">
        <v>297</v>
      </c>
      <c r="C134" s="23">
        <v>45441</v>
      </c>
      <c r="D134" s="119" t="s">
        <v>635</v>
      </c>
      <c r="E134" s="119" t="s">
        <v>164</v>
      </c>
      <c r="F134" s="119">
        <v>1</v>
      </c>
      <c r="G134" s="120">
        <v>97.44</v>
      </c>
      <c r="H134" s="120">
        <v>82.27</v>
      </c>
      <c r="I134" s="121"/>
      <c r="J134" s="277" t="s">
        <v>870</v>
      </c>
      <c r="K134" s="128" t="s">
        <v>871</v>
      </c>
      <c r="L134" s="402" t="s">
        <v>872</v>
      </c>
      <c r="M134" s="150" t="s">
        <v>873</v>
      </c>
      <c r="N134" s="276" t="s">
        <v>874</v>
      </c>
      <c r="O134" s="128" t="s">
        <v>713</v>
      </c>
      <c r="P134" s="128" t="s">
        <v>490</v>
      </c>
      <c r="Q134" s="128" t="s">
        <v>570</v>
      </c>
      <c r="R134" s="223"/>
      <c r="S134" s="241">
        <v>45449</v>
      </c>
      <c r="T134" s="435" t="s">
        <v>877</v>
      </c>
      <c r="U134" s="398" t="str">
        <f t="shared" ca="1" si="8"/>
        <v>Fora da garantia</v>
      </c>
      <c r="V134" s="398"/>
      <c r="W134" s="398"/>
      <c r="X134" s="398"/>
      <c r="Y134" s="398"/>
      <c r="Z134" s="398"/>
    </row>
    <row r="135" spans="1:26" s="378" customFormat="1" ht="27.75" customHeight="1" x14ac:dyDescent="0.25">
      <c r="A135" s="479" t="s">
        <v>372</v>
      </c>
      <c r="B135" s="72" t="s">
        <v>297</v>
      </c>
      <c r="C135" s="23">
        <v>45440</v>
      </c>
      <c r="D135" s="119" t="s">
        <v>171</v>
      </c>
      <c r="E135" s="119" t="s">
        <v>170</v>
      </c>
      <c r="F135" s="119">
        <v>2</v>
      </c>
      <c r="G135" s="120">
        <v>1599.99</v>
      </c>
      <c r="H135" s="120">
        <v>2603.3000000000002</v>
      </c>
      <c r="I135" s="121"/>
      <c r="J135" s="277" t="s">
        <v>602</v>
      </c>
      <c r="K135" s="276" t="s">
        <v>603</v>
      </c>
      <c r="L135" s="276" t="s">
        <v>604</v>
      </c>
      <c r="M135" s="150" t="s">
        <v>618</v>
      </c>
      <c r="N135" s="276" t="s">
        <v>605</v>
      </c>
      <c r="O135" s="128" t="s">
        <v>494</v>
      </c>
      <c r="P135" s="128" t="s">
        <v>471</v>
      </c>
      <c r="Q135" s="128" t="s">
        <v>570</v>
      </c>
      <c r="R135" s="276" t="s">
        <v>878</v>
      </c>
      <c r="S135" s="241">
        <v>45441</v>
      </c>
      <c r="T135" s="433"/>
      <c r="U135" s="398" t="str">
        <f t="shared" ca="1" si="8"/>
        <v>Fora da garantia</v>
      </c>
      <c r="V135" s="398"/>
      <c r="W135" s="398"/>
      <c r="X135" s="398"/>
      <c r="Y135" s="398"/>
      <c r="Z135" s="398"/>
    </row>
    <row r="136" spans="1:26" s="378" customFormat="1" ht="27.75" customHeight="1" x14ac:dyDescent="0.25">
      <c r="A136" s="479" t="s">
        <v>368</v>
      </c>
      <c r="B136" s="72" t="s">
        <v>297</v>
      </c>
      <c r="C136" s="23">
        <v>45438</v>
      </c>
      <c r="D136" s="119" t="s">
        <v>165</v>
      </c>
      <c r="E136" s="119" t="s">
        <v>164</v>
      </c>
      <c r="F136" s="119">
        <v>2</v>
      </c>
      <c r="G136" s="120">
        <v>89.04</v>
      </c>
      <c r="H136" s="120">
        <v>103.9</v>
      </c>
      <c r="I136" s="121"/>
      <c r="J136" s="275" t="s">
        <v>879</v>
      </c>
      <c r="K136" s="276" t="s">
        <v>880</v>
      </c>
      <c r="L136" s="276" t="s">
        <v>881</v>
      </c>
      <c r="M136" s="276" t="s">
        <v>882</v>
      </c>
      <c r="N136" s="276" t="s">
        <v>883</v>
      </c>
      <c r="O136" s="276" t="s">
        <v>884</v>
      </c>
      <c r="P136" s="128" t="s">
        <v>845</v>
      </c>
      <c r="Q136" s="128" t="s">
        <v>570</v>
      </c>
      <c r="R136" s="276" t="s">
        <v>885</v>
      </c>
      <c r="S136" s="241">
        <v>45446</v>
      </c>
      <c r="T136" s="435"/>
      <c r="U136" s="398" t="str">
        <f t="shared" ca="1" si="8"/>
        <v>Fora da garantia</v>
      </c>
      <c r="V136" s="398"/>
      <c r="W136" s="398"/>
      <c r="X136" s="398"/>
      <c r="Y136" s="398"/>
      <c r="Z136" s="398"/>
    </row>
    <row r="137" spans="1:26" s="378" customFormat="1" ht="27.75" customHeight="1" x14ac:dyDescent="0.25">
      <c r="A137" s="479" t="s">
        <v>369</v>
      </c>
      <c r="B137" s="72" t="s">
        <v>298</v>
      </c>
      <c r="C137" s="23">
        <v>45438</v>
      </c>
      <c r="D137" s="119" t="s">
        <v>171</v>
      </c>
      <c r="E137" s="119"/>
      <c r="F137" s="119">
        <v>2</v>
      </c>
      <c r="G137" s="120">
        <v>1599.99</v>
      </c>
      <c r="H137" s="120">
        <v>-2524.08</v>
      </c>
      <c r="I137" s="121" t="s">
        <v>370</v>
      </c>
      <c r="J137" s="275" t="s">
        <v>602</v>
      </c>
      <c r="K137" s="276" t="s">
        <v>603</v>
      </c>
      <c r="L137" s="276" t="s">
        <v>604</v>
      </c>
      <c r="M137" s="150"/>
      <c r="N137" s="125"/>
      <c r="O137" s="125"/>
      <c r="P137" s="125"/>
      <c r="Q137" s="221"/>
      <c r="R137" s="223"/>
      <c r="S137" s="242"/>
      <c r="T137" s="433"/>
      <c r="U137" s="398" t="str">
        <f t="shared" ca="1" si="8"/>
        <v/>
      </c>
      <c r="V137" s="398"/>
      <c r="W137" s="398"/>
      <c r="X137" s="398"/>
      <c r="Y137" s="398"/>
      <c r="Z137" s="398"/>
    </row>
    <row r="138" spans="1:26" s="378" customFormat="1" ht="27.75" customHeight="1" x14ac:dyDescent="0.25">
      <c r="A138" s="479" t="s">
        <v>367</v>
      </c>
      <c r="B138" s="72" t="s">
        <v>297</v>
      </c>
      <c r="C138" s="23">
        <v>45437</v>
      </c>
      <c r="D138" s="119" t="s">
        <v>167</v>
      </c>
      <c r="E138" s="119" t="s">
        <v>166</v>
      </c>
      <c r="F138" s="119">
        <v>1</v>
      </c>
      <c r="G138" s="120">
        <v>89.29</v>
      </c>
      <c r="H138" s="120">
        <v>52.16</v>
      </c>
      <c r="I138" s="121"/>
      <c r="J138" s="275" t="s">
        <v>908</v>
      </c>
      <c r="K138" s="276" t="s">
        <v>766</v>
      </c>
      <c r="L138" s="276" t="s">
        <v>767</v>
      </c>
      <c r="M138" s="276" t="s">
        <v>775</v>
      </c>
      <c r="N138" s="276" t="s">
        <v>768</v>
      </c>
      <c r="O138" s="276" t="s">
        <v>593</v>
      </c>
      <c r="P138" s="128" t="s">
        <v>513</v>
      </c>
      <c r="Q138" s="128" t="s">
        <v>570</v>
      </c>
      <c r="R138" s="276" t="s">
        <v>909</v>
      </c>
      <c r="S138" s="241">
        <v>45440</v>
      </c>
      <c r="T138" s="435" t="s">
        <v>910</v>
      </c>
      <c r="U138" s="398" t="str">
        <f t="shared" ca="1" si="8"/>
        <v>Fora da garantia</v>
      </c>
      <c r="V138" s="398"/>
      <c r="W138" s="398"/>
      <c r="X138" s="398"/>
      <c r="Y138" s="398"/>
      <c r="Z138" s="398"/>
    </row>
    <row r="139" spans="1:26" s="378" customFormat="1" ht="27.75" customHeight="1" x14ac:dyDescent="0.25">
      <c r="A139" s="479" t="s">
        <v>364</v>
      </c>
      <c r="B139" s="72" t="s">
        <v>297</v>
      </c>
      <c r="C139" s="23">
        <v>45436</v>
      </c>
      <c r="D139" s="119" t="s">
        <v>634</v>
      </c>
      <c r="E139" s="119" t="s">
        <v>164</v>
      </c>
      <c r="F139" s="119">
        <v>1</v>
      </c>
      <c r="G139" s="120">
        <v>69.5</v>
      </c>
      <c r="H139" s="120">
        <v>1.78</v>
      </c>
      <c r="I139" s="121"/>
      <c r="J139" s="275" t="s">
        <v>892</v>
      </c>
      <c r="K139" s="128" t="s">
        <v>893</v>
      </c>
      <c r="L139" s="276" t="s">
        <v>894</v>
      </c>
      <c r="M139" s="150" t="s">
        <v>895</v>
      </c>
      <c r="N139" s="125"/>
      <c r="O139" s="276" t="s">
        <v>896</v>
      </c>
      <c r="P139" s="128" t="s">
        <v>845</v>
      </c>
      <c r="Q139" s="128" t="s">
        <v>570</v>
      </c>
      <c r="R139" s="276" t="s">
        <v>897</v>
      </c>
      <c r="S139" s="241">
        <v>45449</v>
      </c>
      <c r="T139" s="435" t="s">
        <v>898</v>
      </c>
      <c r="U139" s="398" t="str">
        <f t="shared" ca="1" si="8"/>
        <v>Fora da garantia</v>
      </c>
      <c r="V139" s="398"/>
      <c r="W139" s="398"/>
      <c r="X139" s="398"/>
      <c r="Y139" s="398"/>
      <c r="Z139" s="398"/>
    </row>
    <row r="140" spans="1:26" s="378" customFormat="1" ht="27.75" customHeight="1" x14ac:dyDescent="0.25">
      <c r="A140" s="479" t="s">
        <v>365</v>
      </c>
      <c r="B140" s="72" t="s">
        <v>297</v>
      </c>
      <c r="C140" s="23">
        <v>45436</v>
      </c>
      <c r="D140" s="119" t="s">
        <v>366</v>
      </c>
      <c r="E140" s="119" t="s">
        <v>164</v>
      </c>
      <c r="F140" s="119">
        <v>2</v>
      </c>
      <c r="G140" s="120">
        <v>139</v>
      </c>
      <c r="H140" s="120">
        <v>3.56</v>
      </c>
      <c r="I140" s="121"/>
      <c r="J140" s="275" t="s">
        <v>899</v>
      </c>
      <c r="K140" s="128" t="s">
        <v>900</v>
      </c>
      <c r="L140" s="276" t="s">
        <v>901</v>
      </c>
      <c r="M140" s="150" t="s">
        <v>902</v>
      </c>
      <c r="N140" s="128" t="s">
        <v>903</v>
      </c>
      <c r="O140" s="128" t="s">
        <v>904</v>
      </c>
      <c r="P140" s="128" t="s">
        <v>490</v>
      </c>
      <c r="Q140" s="128" t="s">
        <v>570</v>
      </c>
      <c r="R140" s="276" t="s">
        <v>905</v>
      </c>
      <c r="S140" s="241">
        <v>45441</v>
      </c>
      <c r="T140" s="435" t="s">
        <v>906</v>
      </c>
      <c r="U140" s="398" t="str">
        <f t="shared" ca="1" si="8"/>
        <v>Fora da garantia</v>
      </c>
      <c r="V140" s="398"/>
      <c r="W140" s="398"/>
      <c r="X140" s="398"/>
      <c r="Y140" s="398"/>
      <c r="Z140" s="398"/>
    </row>
    <row r="141" spans="1:26" s="378" customFormat="1" ht="27.75" customHeight="1" x14ac:dyDescent="0.25">
      <c r="A141" s="479" t="s">
        <v>371</v>
      </c>
      <c r="B141" s="72" t="s">
        <v>297</v>
      </c>
      <c r="C141" s="23">
        <v>45436</v>
      </c>
      <c r="D141" s="119" t="s">
        <v>167</v>
      </c>
      <c r="E141" s="119" t="s">
        <v>166</v>
      </c>
      <c r="F141" s="119">
        <v>4</v>
      </c>
      <c r="G141" s="120">
        <v>89.29</v>
      </c>
      <c r="H141" s="120">
        <v>191.08</v>
      </c>
      <c r="I141" s="121"/>
      <c r="J141" s="277" t="s">
        <v>886</v>
      </c>
      <c r="K141" s="128" t="s">
        <v>887</v>
      </c>
      <c r="L141" s="402" t="s">
        <v>888</v>
      </c>
      <c r="M141" s="150" t="s">
        <v>889</v>
      </c>
      <c r="N141" s="276" t="s">
        <v>498</v>
      </c>
      <c r="O141" s="276" t="s">
        <v>907</v>
      </c>
      <c r="P141" s="128" t="s">
        <v>845</v>
      </c>
      <c r="Q141" s="128" t="s">
        <v>570</v>
      </c>
      <c r="R141" s="276" t="s">
        <v>890</v>
      </c>
      <c r="S141" s="241">
        <v>45443</v>
      </c>
      <c r="T141" s="435" t="s">
        <v>891</v>
      </c>
      <c r="U141" s="398" t="str">
        <f t="shared" ca="1" si="8"/>
        <v>Fora da garantia</v>
      </c>
      <c r="V141" s="398"/>
      <c r="W141" s="398"/>
      <c r="X141" s="398"/>
      <c r="Y141" s="398"/>
      <c r="Z141" s="398"/>
    </row>
    <row r="142" spans="1:26" s="378" customFormat="1" ht="27.75" customHeight="1" x14ac:dyDescent="0.25">
      <c r="A142" s="479" t="s">
        <v>363</v>
      </c>
      <c r="B142" s="72" t="s">
        <v>355</v>
      </c>
      <c r="C142" s="23">
        <v>45434</v>
      </c>
      <c r="D142" s="119" t="s">
        <v>179</v>
      </c>
      <c r="E142" s="119"/>
      <c r="F142" s="119">
        <v>1</v>
      </c>
      <c r="G142" s="120">
        <v>189.92</v>
      </c>
      <c r="H142" s="120">
        <v>-135.68</v>
      </c>
      <c r="I142" s="121"/>
      <c r="J142" s="275" t="s">
        <v>911</v>
      </c>
      <c r="K142" s="276" t="s">
        <v>912</v>
      </c>
      <c r="L142" s="276" t="s">
        <v>914</v>
      </c>
      <c r="M142" s="276" t="s">
        <v>915</v>
      </c>
      <c r="N142" s="278" t="s">
        <v>913</v>
      </c>
      <c r="O142" s="128" t="s">
        <v>713</v>
      </c>
      <c r="P142" s="128" t="s">
        <v>490</v>
      </c>
      <c r="Q142" s="128" t="s">
        <v>570</v>
      </c>
      <c r="R142" s="276" t="s">
        <v>916</v>
      </c>
      <c r="S142" s="241">
        <v>45436</v>
      </c>
      <c r="T142" s="435"/>
      <c r="U142" s="398" t="str">
        <f t="shared" ca="1" si="8"/>
        <v>Fora da garantia</v>
      </c>
      <c r="V142" s="398"/>
      <c r="W142" s="398"/>
      <c r="X142" s="398"/>
      <c r="Y142" s="398"/>
      <c r="Z142" s="398"/>
    </row>
    <row r="143" spans="1:26" s="378" customFormat="1" ht="27.75" customHeight="1" x14ac:dyDescent="0.25">
      <c r="A143" s="479" t="s">
        <v>362</v>
      </c>
      <c r="B143" s="72" t="s">
        <v>297</v>
      </c>
      <c r="C143" s="23">
        <v>45430</v>
      </c>
      <c r="D143" s="119" t="s">
        <v>180</v>
      </c>
      <c r="E143" s="119" t="s">
        <v>181</v>
      </c>
      <c r="F143" s="119">
        <v>1</v>
      </c>
      <c r="G143" s="120">
        <v>170.99</v>
      </c>
      <c r="H143" s="120">
        <v>123.77</v>
      </c>
      <c r="I143" s="121"/>
      <c r="J143" s="275" t="s">
        <v>917</v>
      </c>
      <c r="K143" s="128" t="s">
        <v>918</v>
      </c>
      <c r="L143" s="402" t="s">
        <v>919</v>
      </c>
      <c r="M143" s="150" t="s">
        <v>920</v>
      </c>
      <c r="N143" s="276" t="s">
        <v>921</v>
      </c>
      <c r="O143" s="276" t="s">
        <v>922</v>
      </c>
      <c r="P143" s="128" t="s">
        <v>845</v>
      </c>
      <c r="Q143" s="128" t="s">
        <v>570</v>
      </c>
      <c r="R143" s="276" t="s">
        <v>923</v>
      </c>
      <c r="S143" s="241">
        <v>45446</v>
      </c>
      <c r="T143" s="435" t="s">
        <v>924</v>
      </c>
      <c r="U143" s="398" t="str">
        <f t="shared" ca="1" si="8"/>
        <v>Fora da garantia</v>
      </c>
      <c r="V143" s="398"/>
      <c r="W143" s="398"/>
      <c r="X143" s="398"/>
      <c r="Y143" s="398"/>
      <c r="Z143" s="398"/>
    </row>
    <row r="144" spans="1:26" s="378" customFormat="1" ht="27.75" customHeight="1" x14ac:dyDescent="0.25">
      <c r="A144" s="479" t="s">
        <v>360</v>
      </c>
      <c r="B144" s="72" t="s">
        <v>355</v>
      </c>
      <c r="C144" s="23">
        <v>45429</v>
      </c>
      <c r="D144" s="119" t="s">
        <v>361</v>
      </c>
      <c r="E144" s="119"/>
      <c r="F144" s="119">
        <v>1</v>
      </c>
      <c r="G144" s="120">
        <v>59.99</v>
      </c>
      <c r="H144" s="120">
        <v>-47.4</v>
      </c>
      <c r="I144" s="121"/>
      <c r="J144" s="275" t="s">
        <v>925</v>
      </c>
      <c r="K144" s="276" t="s">
        <v>926</v>
      </c>
      <c r="L144" s="226"/>
      <c r="M144" s="150"/>
      <c r="N144" s="125"/>
      <c r="O144" s="125"/>
      <c r="P144" s="125"/>
      <c r="Q144" s="128" t="s">
        <v>570</v>
      </c>
      <c r="R144" s="276" t="s">
        <v>927</v>
      </c>
      <c r="S144" s="241">
        <v>45443</v>
      </c>
      <c r="T144" s="435"/>
      <c r="U144" s="398" t="str">
        <f t="shared" ca="1" si="8"/>
        <v>Fora da garantia</v>
      </c>
      <c r="V144" s="398"/>
      <c r="W144" s="398"/>
      <c r="X144" s="398"/>
      <c r="Y144" s="398"/>
      <c r="Z144" s="398"/>
    </row>
    <row r="145" spans="1:26" s="378" customFormat="1" ht="27.75" customHeight="1" x14ac:dyDescent="0.25">
      <c r="A145" s="479" t="s">
        <v>359</v>
      </c>
      <c r="B145" s="72" t="s">
        <v>297</v>
      </c>
      <c r="C145" s="23">
        <v>45426</v>
      </c>
      <c r="D145" s="119" t="s">
        <v>165</v>
      </c>
      <c r="E145" s="119" t="s">
        <v>164</v>
      </c>
      <c r="F145" s="119">
        <v>4</v>
      </c>
      <c r="G145" s="120">
        <v>80.599999999999994</v>
      </c>
      <c r="H145" s="120">
        <v>179.8</v>
      </c>
      <c r="I145" s="121"/>
      <c r="J145" s="277" t="s">
        <v>928</v>
      </c>
      <c r="K145" s="128" t="s">
        <v>929</v>
      </c>
      <c r="L145" s="276" t="s">
        <v>930</v>
      </c>
      <c r="M145" s="276" t="s">
        <v>932</v>
      </c>
      <c r="N145" s="276" t="s">
        <v>712</v>
      </c>
      <c r="O145" s="276" t="s">
        <v>931</v>
      </c>
      <c r="P145" s="128" t="s">
        <v>490</v>
      </c>
      <c r="Q145" s="128" t="s">
        <v>570</v>
      </c>
      <c r="R145" s="276" t="s">
        <v>933</v>
      </c>
      <c r="S145" s="241">
        <v>45428</v>
      </c>
      <c r="T145" s="435" t="s">
        <v>934</v>
      </c>
      <c r="U145" s="398" t="str">
        <f t="shared" ca="1" si="8"/>
        <v>Fora da garantia</v>
      </c>
      <c r="V145" s="398"/>
      <c r="W145" s="398"/>
      <c r="X145" s="398"/>
      <c r="Y145" s="398"/>
      <c r="Z145" s="398"/>
    </row>
    <row r="146" spans="1:26" s="378" customFormat="1" ht="27.75" customHeight="1" x14ac:dyDescent="0.25">
      <c r="A146" s="479" t="s">
        <v>356</v>
      </c>
      <c r="B146" s="72" t="s">
        <v>297</v>
      </c>
      <c r="C146" s="23">
        <v>45425</v>
      </c>
      <c r="D146" s="119" t="s">
        <v>19</v>
      </c>
      <c r="E146" s="119" t="s">
        <v>18</v>
      </c>
      <c r="F146" s="119">
        <v>1</v>
      </c>
      <c r="G146" s="120">
        <v>698</v>
      </c>
      <c r="H146" s="120">
        <v>555.89</v>
      </c>
      <c r="I146" s="121"/>
      <c r="J146" s="275" t="s">
        <v>935</v>
      </c>
      <c r="K146" s="128" t="s">
        <v>936</v>
      </c>
      <c r="L146" s="402" t="s">
        <v>937</v>
      </c>
      <c r="M146" s="276" t="s">
        <v>938</v>
      </c>
      <c r="N146" s="276" t="s">
        <v>939</v>
      </c>
      <c r="O146" s="276" t="s">
        <v>940</v>
      </c>
      <c r="P146" s="128" t="s">
        <v>845</v>
      </c>
      <c r="Q146" s="128" t="s">
        <v>570</v>
      </c>
      <c r="R146" s="276" t="s">
        <v>941</v>
      </c>
      <c r="S146" s="241">
        <v>45432</v>
      </c>
      <c r="T146" s="435"/>
      <c r="U146" s="398" t="str">
        <f t="shared" ca="1" si="8"/>
        <v>Fora da garantia</v>
      </c>
      <c r="V146" s="398"/>
      <c r="W146" s="398"/>
      <c r="X146" s="398"/>
      <c r="Y146" s="398"/>
      <c r="Z146" s="398"/>
    </row>
    <row r="147" spans="1:26" s="378" customFormat="1" ht="27.75" customHeight="1" x14ac:dyDescent="0.25">
      <c r="A147" s="479" t="s">
        <v>357</v>
      </c>
      <c r="B147" s="72" t="s">
        <v>297</v>
      </c>
      <c r="C147" s="23">
        <v>45425</v>
      </c>
      <c r="D147" s="119" t="s">
        <v>358</v>
      </c>
      <c r="E147" s="119" t="s">
        <v>164</v>
      </c>
      <c r="F147" s="119">
        <v>1</v>
      </c>
      <c r="G147" s="120">
        <v>80.599999999999994</v>
      </c>
      <c r="H147" s="120">
        <v>44.95</v>
      </c>
      <c r="I147" s="121"/>
      <c r="J147" s="277" t="s">
        <v>942</v>
      </c>
      <c r="K147" s="276" t="s">
        <v>943</v>
      </c>
      <c r="L147" s="276" t="s">
        <v>944</v>
      </c>
      <c r="M147" s="150" t="s">
        <v>945</v>
      </c>
      <c r="N147" s="276" t="s">
        <v>946</v>
      </c>
      <c r="O147" s="276" t="s">
        <v>947</v>
      </c>
      <c r="P147" s="128" t="s">
        <v>557</v>
      </c>
      <c r="Q147" s="128" t="s">
        <v>570</v>
      </c>
      <c r="R147" s="276" t="s">
        <v>948</v>
      </c>
      <c r="S147" s="241">
        <v>45426</v>
      </c>
      <c r="T147" s="435" t="s">
        <v>949</v>
      </c>
      <c r="U147" s="398" t="str">
        <f t="shared" ca="1" si="8"/>
        <v>Fora da garantia</v>
      </c>
      <c r="V147" s="398"/>
      <c r="W147" s="398"/>
      <c r="X147" s="398"/>
      <c r="Y147" s="398"/>
      <c r="Z147" s="398"/>
    </row>
    <row r="148" spans="1:26" s="378" customFormat="1" ht="27.75" customHeight="1" x14ac:dyDescent="0.25">
      <c r="A148" s="479" t="s">
        <v>354</v>
      </c>
      <c r="B148" s="72" t="s">
        <v>355</v>
      </c>
      <c r="C148" s="23">
        <v>45424</v>
      </c>
      <c r="D148" s="119" t="s">
        <v>165</v>
      </c>
      <c r="E148" s="119"/>
      <c r="F148" s="119">
        <v>2</v>
      </c>
      <c r="G148" s="120">
        <v>80.599999999999994</v>
      </c>
      <c r="H148" s="120">
        <v>-89.9</v>
      </c>
      <c r="I148" s="121"/>
      <c r="J148" s="275" t="s">
        <v>950</v>
      </c>
      <c r="K148" s="128" t="s">
        <v>951</v>
      </c>
      <c r="L148" s="226"/>
      <c r="M148" s="150"/>
      <c r="N148" s="125"/>
      <c r="O148" s="125"/>
      <c r="P148" s="125"/>
      <c r="Q148" s="128" t="s">
        <v>570</v>
      </c>
      <c r="R148" s="276" t="s">
        <v>952</v>
      </c>
      <c r="S148" s="241">
        <v>45443</v>
      </c>
      <c r="T148" s="484" t="s">
        <v>953</v>
      </c>
      <c r="U148" s="398" t="str">
        <f t="shared" ca="1" si="8"/>
        <v>Fora da garantia</v>
      </c>
      <c r="V148" s="398"/>
      <c r="W148" s="398"/>
      <c r="X148" s="398"/>
      <c r="Y148" s="398"/>
    </row>
    <row r="149" spans="1:26" s="378" customFormat="1" ht="27.75" customHeight="1" x14ac:dyDescent="0.25">
      <c r="A149" s="479" t="s">
        <v>350</v>
      </c>
      <c r="B149" s="72" t="s">
        <v>297</v>
      </c>
      <c r="C149" s="23">
        <v>45419</v>
      </c>
      <c r="D149" s="119" t="s">
        <v>167</v>
      </c>
      <c r="E149" s="119" t="s">
        <v>166</v>
      </c>
      <c r="F149" s="119">
        <v>1</v>
      </c>
      <c r="G149" s="120">
        <v>60.79</v>
      </c>
      <c r="H149" s="120">
        <v>44.46</v>
      </c>
      <c r="I149" s="121"/>
      <c r="J149" s="277" t="s">
        <v>954</v>
      </c>
      <c r="K149" s="128" t="s">
        <v>955</v>
      </c>
      <c r="L149" s="402" t="s">
        <v>956</v>
      </c>
      <c r="M149" s="150" t="s">
        <v>957</v>
      </c>
      <c r="N149" s="276" t="s">
        <v>958</v>
      </c>
      <c r="O149" s="128" t="s">
        <v>713</v>
      </c>
      <c r="P149" s="128" t="s">
        <v>490</v>
      </c>
      <c r="Q149" s="128" t="s">
        <v>570</v>
      </c>
      <c r="R149" s="276" t="s">
        <v>959</v>
      </c>
      <c r="S149" s="241">
        <v>45419</v>
      </c>
      <c r="T149" s="435" t="s">
        <v>960</v>
      </c>
      <c r="U149" s="398" t="str">
        <f t="shared" ca="1" si="8"/>
        <v>Fora da garantia</v>
      </c>
      <c r="V149" s="398"/>
      <c r="W149" s="398"/>
      <c r="X149" s="398"/>
      <c r="Y149" s="398"/>
      <c r="Z149" s="398"/>
    </row>
    <row r="150" spans="1:26" s="378" customFormat="1" ht="27.75" customHeight="1" x14ac:dyDescent="0.25">
      <c r="A150" s="479" t="s">
        <v>352</v>
      </c>
      <c r="B150" s="72" t="s">
        <v>297</v>
      </c>
      <c r="C150" s="23">
        <v>45419</v>
      </c>
      <c r="D150" s="119" t="s">
        <v>167</v>
      </c>
      <c r="E150" s="119" t="s">
        <v>166</v>
      </c>
      <c r="F150" s="119">
        <v>1</v>
      </c>
      <c r="G150" s="120">
        <v>60.79</v>
      </c>
      <c r="H150" s="120">
        <v>44.46</v>
      </c>
      <c r="I150" s="121"/>
      <c r="J150" s="277" t="s">
        <v>961</v>
      </c>
      <c r="K150" s="276" t="s">
        <v>962</v>
      </c>
      <c r="L150" s="276" t="s">
        <v>963</v>
      </c>
      <c r="M150" s="276" t="s">
        <v>998</v>
      </c>
      <c r="N150" s="278" t="s">
        <v>964</v>
      </c>
      <c r="O150" s="278" t="s">
        <v>965</v>
      </c>
      <c r="P150" s="128" t="s">
        <v>471</v>
      </c>
      <c r="Q150" s="128" t="s">
        <v>570</v>
      </c>
      <c r="R150" s="276" t="s">
        <v>966</v>
      </c>
      <c r="S150" s="241">
        <v>45420</v>
      </c>
      <c r="T150" s="435" t="s">
        <v>967</v>
      </c>
      <c r="U150" s="398" t="str">
        <f t="shared" ca="1" si="8"/>
        <v>Fora da garantia</v>
      </c>
      <c r="V150" s="398"/>
      <c r="W150" s="398"/>
      <c r="X150" s="398"/>
      <c r="Y150" s="398"/>
      <c r="Z150" s="398"/>
    </row>
    <row r="151" spans="1:26" s="378" customFormat="1" ht="27.75" customHeight="1" x14ac:dyDescent="0.25">
      <c r="A151" s="479" t="s">
        <v>353</v>
      </c>
      <c r="B151" s="72" t="s">
        <v>297</v>
      </c>
      <c r="C151" s="23">
        <v>45419</v>
      </c>
      <c r="D151" s="119" t="s">
        <v>167</v>
      </c>
      <c r="E151" s="119" t="s">
        <v>166</v>
      </c>
      <c r="F151" s="119">
        <v>1</v>
      </c>
      <c r="G151" s="120">
        <v>60.79</v>
      </c>
      <c r="H151" s="120">
        <v>44.46</v>
      </c>
      <c r="I151" s="121"/>
      <c r="J151" s="277" t="s">
        <v>961</v>
      </c>
      <c r="K151" s="276" t="s">
        <v>962</v>
      </c>
      <c r="L151" s="276" t="s">
        <v>963</v>
      </c>
      <c r="M151" s="276" t="s">
        <v>998</v>
      </c>
      <c r="N151" s="278" t="s">
        <v>964</v>
      </c>
      <c r="O151" s="278" t="s">
        <v>965</v>
      </c>
      <c r="P151" s="128" t="s">
        <v>471</v>
      </c>
      <c r="Q151" s="128" t="s">
        <v>570</v>
      </c>
      <c r="R151" s="276" t="s">
        <v>968</v>
      </c>
      <c r="S151" s="241">
        <v>45420</v>
      </c>
      <c r="T151" s="435" t="s">
        <v>969</v>
      </c>
      <c r="U151" s="398" t="str">
        <f t="shared" ca="1" si="8"/>
        <v>Fora da garantia</v>
      </c>
      <c r="V151" s="398"/>
      <c r="W151" s="398"/>
      <c r="X151" s="398"/>
      <c r="Y151" s="398"/>
      <c r="Z151" s="398"/>
    </row>
    <row r="152" spans="1:26" s="378" customFormat="1" ht="27.75" customHeight="1" x14ac:dyDescent="0.25">
      <c r="A152" s="479" t="s">
        <v>349</v>
      </c>
      <c r="B152" s="72" t="s">
        <v>297</v>
      </c>
      <c r="C152" s="23">
        <v>45418</v>
      </c>
      <c r="D152" s="119" t="s">
        <v>167</v>
      </c>
      <c r="E152" s="119" t="s">
        <v>166</v>
      </c>
      <c r="F152" s="119">
        <v>1</v>
      </c>
      <c r="G152" s="120">
        <v>60.79</v>
      </c>
      <c r="H152" s="120">
        <v>44.46</v>
      </c>
      <c r="I152" s="121"/>
      <c r="J152" s="277" t="s">
        <v>954</v>
      </c>
      <c r="K152" s="128" t="s">
        <v>955</v>
      </c>
      <c r="L152" s="402" t="s">
        <v>956</v>
      </c>
      <c r="M152" s="150" t="s">
        <v>957</v>
      </c>
      <c r="N152" s="276" t="s">
        <v>958</v>
      </c>
      <c r="O152" s="128" t="s">
        <v>713</v>
      </c>
      <c r="P152" s="128" t="s">
        <v>490</v>
      </c>
      <c r="Q152" s="128" t="s">
        <v>570</v>
      </c>
      <c r="R152" s="276" t="s">
        <v>970</v>
      </c>
      <c r="S152" s="241">
        <v>45419</v>
      </c>
      <c r="T152" s="435" t="s">
        <v>971</v>
      </c>
      <c r="U152" s="398" t="str">
        <f t="shared" ca="1" si="8"/>
        <v>Fora da garantia</v>
      </c>
      <c r="V152" s="398"/>
      <c r="W152" s="398"/>
      <c r="X152" s="398"/>
      <c r="Y152" s="398"/>
      <c r="Z152" s="398"/>
    </row>
    <row r="153" spans="1:26" s="378" customFormat="1" ht="27.75" customHeight="1" x14ac:dyDescent="0.25">
      <c r="A153" s="479" t="s">
        <v>351</v>
      </c>
      <c r="B153" s="72" t="s">
        <v>297</v>
      </c>
      <c r="C153" s="23">
        <v>45418</v>
      </c>
      <c r="D153" s="119" t="s">
        <v>19</v>
      </c>
      <c r="E153" s="119" t="s">
        <v>18</v>
      </c>
      <c r="F153" s="119">
        <v>1</v>
      </c>
      <c r="G153" s="120">
        <v>698</v>
      </c>
      <c r="H153" s="120">
        <v>555.89</v>
      </c>
      <c r="I153" s="121"/>
      <c r="J153" s="277" t="s">
        <v>972</v>
      </c>
      <c r="K153" s="276" t="s">
        <v>973</v>
      </c>
      <c r="L153" s="276" t="s">
        <v>974</v>
      </c>
      <c r="M153" s="276" t="s">
        <v>975</v>
      </c>
      <c r="N153" s="276" t="s">
        <v>976</v>
      </c>
      <c r="O153" s="276" t="s">
        <v>977</v>
      </c>
      <c r="P153" s="128" t="s">
        <v>513</v>
      </c>
      <c r="Q153" s="128" t="s">
        <v>570</v>
      </c>
      <c r="R153" s="276" t="s">
        <v>978</v>
      </c>
      <c r="S153" s="241">
        <v>45421</v>
      </c>
      <c r="T153" s="435" t="s">
        <v>979</v>
      </c>
      <c r="U153" s="398" t="str">
        <f t="shared" ca="1" si="8"/>
        <v>Fora da garantia</v>
      </c>
      <c r="V153" s="398"/>
      <c r="W153" s="398"/>
      <c r="X153" s="398"/>
      <c r="Y153" s="398"/>
      <c r="Z153" s="398"/>
    </row>
    <row r="154" spans="1:26" s="378" customFormat="1" ht="27.75" customHeight="1" x14ac:dyDescent="0.25">
      <c r="A154" s="479" t="s">
        <v>346</v>
      </c>
      <c r="B154" s="72" t="s">
        <v>347</v>
      </c>
      <c r="C154" s="23">
        <v>45416</v>
      </c>
      <c r="D154" s="119" t="s">
        <v>167</v>
      </c>
      <c r="E154" s="119" t="s">
        <v>166</v>
      </c>
      <c r="F154" s="119">
        <v>1</v>
      </c>
      <c r="G154" s="120">
        <v>60.79</v>
      </c>
      <c r="H154" s="120">
        <v>-133.38</v>
      </c>
      <c r="I154" s="403" t="s">
        <v>348</v>
      </c>
      <c r="J154" s="275" t="s">
        <v>980</v>
      </c>
      <c r="K154" s="128" t="s">
        <v>981</v>
      </c>
      <c r="L154" s="276" t="s">
        <v>982</v>
      </c>
      <c r="M154" s="150" t="s">
        <v>983</v>
      </c>
      <c r="N154" s="128" t="s">
        <v>498</v>
      </c>
      <c r="O154" s="276" t="s">
        <v>984</v>
      </c>
      <c r="P154" s="128" t="s">
        <v>557</v>
      </c>
      <c r="Q154" s="128" t="s">
        <v>570</v>
      </c>
      <c r="R154" s="276" t="s">
        <v>985</v>
      </c>
      <c r="S154" s="280">
        <v>45425</v>
      </c>
      <c r="T154" s="436" t="s">
        <v>986</v>
      </c>
      <c r="U154" s="398" t="str">
        <f t="shared" ca="1" si="8"/>
        <v>Fora da garantia</v>
      </c>
      <c r="V154" s="398"/>
      <c r="W154" s="398"/>
      <c r="X154" s="398"/>
      <c r="Y154" s="398"/>
      <c r="Z154" s="398"/>
    </row>
    <row r="155" spans="1:26" s="378" customFormat="1" ht="27.75" customHeight="1" x14ac:dyDescent="0.25">
      <c r="A155" s="479" t="s">
        <v>345</v>
      </c>
      <c r="B155" s="72" t="s">
        <v>297</v>
      </c>
      <c r="C155" s="23">
        <v>45408</v>
      </c>
      <c r="D155" s="119" t="s">
        <v>105</v>
      </c>
      <c r="E155" s="119"/>
      <c r="F155" s="119">
        <v>1</v>
      </c>
      <c r="G155" s="120">
        <v>692.36</v>
      </c>
      <c r="H155" s="120">
        <v>549.71</v>
      </c>
      <c r="I155" s="121"/>
      <c r="J155" s="275" t="s">
        <v>987</v>
      </c>
      <c r="K155" s="128" t="s">
        <v>988</v>
      </c>
      <c r="L155" s="276" t="s">
        <v>989</v>
      </c>
      <c r="M155" s="150" t="s">
        <v>990</v>
      </c>
      <c r="N155" s="276" t="s">
        <v>498</v>
      </c>
      <c r="O155" s="276" t="s">
        <v>991</v>
      </c>
      <c r="P155" s="128" t="s">
        <v>735</v>
      </c>
      <c r="Q155" s="128" t="s">
        <v>570</v>
      </c>
      <c r="R155" s="276" t="s">
        <v>992</v>
      </c>
      <c r="S155" s="241">
        <v>45419</v>
      </c>
      <c r="T155" s="435" t="s">
        <v>993</v>
      </c>
      <c r="U155" s="398" t="str">
        <f t="shared" ca="1" si="8"/>
        <v>Fora da garantia</v>
      </c>
      <c r="V155" s="398"/>
      <c r="W155" s="398"/>
      <c r="X155" s="398"/>
      <c r="Y155" s="398"/>
      <c r="Z155" s="398"/>
    </row>
    <row r="156" spans="1:26" s="378" customFormat="1" ht="27.75" customHeight="1" x14ac:dyDescent="0.25">
      <c r="A156" s="479" t="s">
        <v>344</v>
      </c>
      <c r="B156" s="72" t="s">
        <v>297</v>
      </c>
      <c r="C156" s="23">
        <v>45407</v>
      </c>
      <c r="D156" s="119" t="s">
        <v>19</v>
      </c>
      <c r="E156" s="119" t="s">
        <v>18</v>
      </c>
      <c r="F156" s="119">
        <v>1</v>
      </c>
      <c r="G156" s="120">
        <v>698</v>
      </c>
      <c r="H156" s="120">
        <v>555.89</v>
      </c>
      <c r="I156" s="121"/>
      <c r="J156" s="277" t="s">
        <v>994</v>
      </c>
      <c r="K156" s="128" t="s">
        <v>995</v>
      </c>
      <c r="L156" s="276" t="s">
        <v>996</v>
      </c>
      <c r="M156" s="150" t="s">
        <v>997</v>
      </c>
      <c r="N156" s="276" t="s">
        <v>1002</v>
      </c>
      <c r="O156" s="276" t="s">
        <v>1003</v>
      </c>
      <c r="P156" s="128" t="s">
        <v>519</v>
      </c>
      <c r="Q156" s="128" t="s">
        <v>570</v>
      </c>
      <c r="R156" s="276" t="s">
        <v>1004</v>
      </c>
      <c r="S156" s="241">
        <v>45415</v>
      </c>
      <c r="T156" s="435"/>
      <c r="U156" s="398" t="str">
        <f t="shared" ca="1" si="8"/>
        <v>Fora da garantia</v>
      </c>
      <c r="V156" s="398"/>
      <c r="W156" s="398"/>
      <c r="X156" s="398"/>
      <c r="Y156" s="398"/>
      <c r="Z156" s="398"/>
    </row>
    <row r="157" spans="1:26" s="378" customFormat="1" ht="27.75" customHeight="1" x14ac:dyDescent="0.25">
      <c r="A157" s="479" t="s">
        <v>342</v>
      </c>
      <c r="B157" s="72" t="s">
        <v>297</v>
      </c>
      <c r="C157" s="23">
        <v>45405</v>
      </c>
      <c r="D157" s="119" t="s">
        <v>105</v>
      </c>
      <c r="E157" s="119"/>
      <c r="F157" s="119">
        <v>1</v>
      </c>
      <c r="G157" s="120">
        <v>692.36</v>
      </c>
      <c r="H157" s="120">
        <v>549.71</v>
      </c>
      <c r="I157" s="121"/>
      <c r="J157" s="275" t="s">
        <v>1005</v>
      </c>
      <c r="K157" s="276" t="s">
        <v>1006</v>
      </c>
      <c r="L157" s="276" t="s">
        <v>1007</v>
      </c>
      <c r="M157" s="276" t="s">
        <v>1011</v>
      </c>
      <c r="N157" s="276" t="s">
        <v>1008</v>
      </c>
      <c r="O157" s="128" t="s">
        <v>1009</v>
      </c>
      <c r="P157" s="128" t="s">
        <v>1010</v>
      </c>
      <c r="Q157" s="128" t="s">
        <v>570</v>
      </c>
      <c r="R157" s="276" t="s">
        <v>1012</v>
      </c>
      <c r="S157" s="241">
        <v>45407</v>
      </c>
      <c r="T157" s="435" t="s">
        <v>1013</v>
      </c>
      <c r="U157" s="398" t="str">
        <f t="shared" ca="1" si="8"/>
        <v>Fora da garantia</v>
      </c>
      <c r="V157" s="398"/>
      <c r="W157" s="398"/>
      <c r="X157" s="398"/>
      <c r="Y157" s="398"/>
      <c r="Z157" s="398"/>
    </row>
    <row r="158" spans="1:26" s="378" customFormat="1" ht="27.75" customHeight="1" x14ac:dyDescent="0.25">
      <c r="A158" s="479" t="s">
        <v>343</v>
      </c>
      <c r="B158" s="72" t="s">
        <v>297</v>
      </c>
      <c r="C158" s="23">
        <v>45405</v>
      </c>
      <c r="D158" s="119" t="s">
        <v>165</v>
      </c>
      <c r="E158" s="119" t="s">
        <v>164</v>
      </c>
      <c r="F158" s="119">
        <v>2</v>
      </c>
      <c r="G158" s="120">
        <v>79.989999999999995</v>
      </c>
      <c r="H158" s="120">
        <v>90.88</v>
      </c>
      <c r="I158" s="121"/>
      <c r="J158" s="275" t="s">
        <v>1014</v>
      </c>
      <c r="K158" s="276" t="s">
        <v>1015</v>
      </c>
      <c r="L158" s="276" t="s">
        <v>1016</v>
      </c>
      <c r="M158" s="276" t="s">
        <v>1017</v>
      </c>
      <c r="N158" s="276" t="s">
        <v>869</v>
      </c>
      <c r="O158" s="276" t="s">
        <v>1018</v>
      </c>
      <c r="P158" s="128" t="s">
        <v>519</v>
      </c>
      <c r="Q158" s="128" t="s">
        <v>570</v>
      </c>
      <c r="R158" s="276" t="s">
        <v>1019</v>
      </c>
      <c r="S158" s="241">
        <v>45411</v>
      </c>
      <c r="T158" s="437">
        <v>50</v>
      </c>
      <c r="U158" s="398" t="str">
        <f t="shared" ca="1" si="8"/>
        <v>Fora da garantia</v>
      </c>
      <c r="V158" s="398"/>
      <c r="W158" s="398"/>
      <c r="X158" s="398"/>
      <c r="Y158" s="398"/>
      <c r="Z158" s="398"/>
    </row>
    <row r="159" spans="1:26" s="378" customFormat="1" ht="27.75" customHeight="1" x14ac:dyDescent="0.25">
      <c r="A159" s="479" t="s">
        <v>341</v>
      </c>
      <c r="B159" s="72" t="s">
        <v>297</v>
      </c>
      <c r="C159" s="23">
        <v>45401</v>
      </c>
      <c r="D159" s="119" t="s">
        <v>179</v>
      </c>
      <c r="E159" s="119" t="s">
        <v>178</v>
      </c>
      <c r="F159" s="119">
        <v>1</v>
      </c>
      <c r="G159" s="120">
        <v>189.92</v>
      </c>
      <c r="H159" s="120">
        <v>135.68</v>
      </c>
      <c r="I159" s="121"/>
      <c r="J159" s="275" t="s">
        <v>1020</v>
      </c>
      <c r="K159" s="128" t="s">
        <v>1021</v>
      </c>
      <c r="L159" s="276" t="s">
        <v>1022</v>
      </c>
      <c r="M159" s="150" t="s">
        <v>1023</v>
      </c>
      <c r="N159" s="276" t="s">
        <v>1024</v>
      </c>
      <c r="O159" s="276" t="s">
        <v>1025</v>
      </c>
      <c r="P159" s="128" t="s">
        <v>513</v>
      </c>
      <c r="Q159" s="128" t="s">
        <v>570</v>
      </c>
      <c r="R159" s="276" t="s">
        <v>1026</v>
      </c>
      <c r="S159" s="241">
        <v>45408</v>
      </c>
      <c r="T159" s="437">
        <v>48</v>
      </c>
      <c r="U159" s="398" t="str">
        <f t="shared" ca="1" si="8"/>
        <v>Fora da garantia</v>
      </c>
      <c r="V159" s="398"/>
      <c r="W159" s="398"/>
      <c r="X159" s="398"/>
      <c r="Y159" s="398"/>
      <c r="Z159" s="398"/>
    </row>
    <row r="160" spans="1:26" s="378" customFormat="1" ht="27.75" customHeight="1" x14ac:dyDescent="0.25">
      <c r="A160" s="479" t="s">
        <v>338</v>
      </c>
      <c r="B160" s="72" t="s">
        <v>297</v>
      </c>
      <c r="C160" s="23">
        <v>45400</v>
      </c>
      <c r="D160" s="119" t="s">
        <v>165</v>
      </c>
      <c r="E160" s="119" t="s">
        <v>164</v>
      </c>
      <c r="F160" s="119">
        <v>4</v>
      </c>
      <c r="G160" s="120">
        <v>79.989999999999995</v>
      </c>
      <c r="H160" s="120">
        <v>181.76</v>
      </c>
      <c r="I160" s="121"/>
      <c r="J160" s="275" t="s">
        <v>1014</v>
      </c>
      <c r="K160" s="276" t="s">
        <v>1015</v>
      </c>
      <c r="L160" s="276" t="s">
        <v>1016</v>
      </c>
      <c r="M160" s="276" t="s">
        <v>1017</v>
      </c>
      <c r="N160" s="276" t="s">
        <v>869</v>
      </c>
      <c r="O160" s="276" t="s">
        <v>1018</v>
      </c>
      <c r="P160" s="128" t="s">
        <v>519</v>
      </c>
      <c r="Q160" s="128" t="s">
        <v>570</v>
      </c>
      <c r="R160" s="276" t="s">
        <v>1027</v>
      </c>
      <c r="S160" s="241">
        <v>45405</v>
      </c>
      <c r="T160" s="437">
        <v>42</v>
      </c>
      <c r="U160" s="398" t="str">
        <f t="shared" ca="1" si="8"/>
        <v>Fora da garantia</v>
      </c>
      <c r="V160" s="398"/>
      <c r="W160" s="398"/>
      <c r="X160" s="398"/>
      <c r="Y160" s="398"/>
      <c r="Z160" s="398"/>
    </row>
    <row r="161" spans="1:26" s="378" customFormat="1" ht="27.75" customHeight="1" x14ac:dyDescent="0.25">
      <c r="A161" s="479" t="s">
        <v>339</v>
      </c>
      <c r="B161" s="72" t="s">
        <v>297</v>
      </c>
      <c r="C161" s="23">
        <v>45400</v>
      </c>
      <c r="D161" s="119" t="s">
        <v>43</v>
      </c>
      <c r="E161" s="119" t="s">
        <v>42</v>
      </c>
      <c r="F161" s="119">
        <v>1</v>
      </c>
      <c r="G161" s="120">
        <v>2239.9899999999998</v>
      </c>
      <c r="H161" s="120">
        <v>1817.24</v>
      </c>
      <c r="I161" s="121"/>
      <c r="J161" s="275" t="s">
        <v>1028</v>
      </c>
      <c r="K161" s="128" t="s">
        <v>1029</v>
      </c>
      <c r="L161" s="276" t="s">
        <v>1030</v>
      </c>
      <c r="M161" s="150" t="s">
        <v>1031</v>
      </c>
      <c r="N161" s="276" t="s">
        <v>498</v>
      </c>
      <c r="O161" s="276" t="s">
        <v>1032</v>
      </c>
      <c r="P161" s="128" t="s">
        <v>513</v>
      </c>
      <c r="Q161" s="128" t="s">
        <v>570</v>
      </c>
      <c r="R161" s="276" t="s">
        <v>1033</v>
      </c>
      <c r="S161" s="241">
        <v>45406</v>
      </c>
      <c r="T161" s="437">
        <v>43</v>
      </c>
      <c r="U161" s="398" t="str">
        <f t="shared" ca="1" si="8"/>
        <v>Fora da garantia</v>
      </c>
      <c r="V161" s="398"/>
      <c r="W161" s="398"/>
      <c r="X161" s="398"/>
      <c r="Y161" s="398"/>
      <c r="Z161" s="398"/>
    </row>
    <row r="162" spans="1:26" s="378" customFormat="1" ht="27.75" customHeight="1" x14ac:dyDescent="0.25">
      <c r="A162" s="479" t="s">
        <v>340</v>
      </c>
      <c r="B162" s="72" t="s">
        <v>297</v>
      </c>
      <c r="C162" s="23">
        <v>45400</v>
      </c>
      <c r="D162" s="119" t="s">
        <v>11</v>
      </c>
      <c r="E162" s="119" t="s">
        <v>10</v>
      </c>
      <c r="F162" s="119">
        <v>1</v>
      </c>
      <c r="G162" s="120">
        <v>119.99</v>
      </c>
      <c r="H162" s="120">
        <v>79.14</v>
      </c>
      <c r="I162" s="121"/>
      <c r="J162" s="275" t="s">
        <v>1034</v>
      </c>
      <c r="K162" s="276" t="s">
        <v>1035</v>
      </c>
      <c r="L162" s="276" t="s">
        <v>1036</v>
      </c>
      <c r="M162" s="150" t="s">
        <v>1037</v>
      </c>
      <c r="N162" s="276" t="s">
        <v>1038</v>
      </c>
      <c r="O162" s="276" t="s">
        <v>1039</v>
      </c>
      <c r="P162" s="128" t="s">
        <v>519</v>
      </c>
      <c r="Q162" s="128" t="s">
        <v>570</v>
      </c>
      <c r="R162" s="276" t="s">
        <v>1040</v>
      </c>
      <c r="S162" s="241">
        <v>45401</v>
      </c>
      <c r="T162" s="437">
        <v>44</v>
      </c>
      <c r="U162" s="398" t="str">
        <f t="shared" ca="1" si="8"/>
        <v>Fora da garantia</v>
      </c>
      <c r="V162" s="398"/>
      <c r="W162" s="398"/>
      <c r="X162" s="398"/>
      <c r="Y162" s="398"/>
      <c r="Z162" s="398"/>
    </row>
    <row r="163" spans="1:26" s="378" customFormat="1" ht="27.75" customHeight="1" x14ac:dyDescent="0.25">
      <c r="A163" s="479" t="s">
        <v>334</v>
      </c>
      <c r="B163" s="72" t="s">
        <v>298</v>
      </c>
      <c r="C163" s="23">
        <v>45398</v>
      </c>
      <c r="D163" s="119" t="s">
        <v>167</v>
      </c>
      <c r="E163" s="119"/>
      <c r="F163" s="119">
        <v>1</v>
      </c>
      <c r="G163" s="120">
        <v>59.99</v>
      </c>
      <c r="H163" s="120">
        <v>-43.79</v>
      </c>
      <c r="I163" s="121" t="s">
        <v>335</v>
      </c>
      <c r="J163" s="277" t="s">
        <v>1041</v>
      </c>
      <c r="K163" s="128" t="s">
        <v>1042</v>
      </c>
      <c r="L163" s="276" t="s">
        <v>1043</v>
      </c>
      <c r="M163" s="150"/>
      <c r="N163" s="282"/>
      <c r="O163" s="278" t="s">
        <v>1044</v>
      </c>
      <c r="P163" s="128" t="s">
        <v>557</v>
      </c>
      <c r="Q163" s="221"/>
      <c r="R163" s="223"/>
      <c r="S163" s="242"/>
      <c r="T163" s="485">
        <v>10041</v>
      </c>
      <c r="U163" s="398" t="str">
        <f t="shared" ca="1" si="8"/>
        <v/>
      </c>
      <c r="V163" s="398"/>
      <c r="W163" s="398"/>
      <c r="X163" s="398"/>
      <c r="Z163" s="398"/>
    </row>
    <row r="164" spans="1:26" s="378" customFormat="1" ht="27.75" customHeight="1" x14ac:dyDescent="0.25">
      <c r="A164" s="479" t="s">
        <v>336</v>
      </c>
      <c r="B164" s="72" t="s">
        <v>298</v>
      </c>
      <c r="C164" s="23">
        <v>45398</v>
      </c>
      <c r="D164" s="119" t="s">
        <v>165</v>
      </c>
      <c r="E164" s="119"/>
      <c r="F164" s="119">
        <v>1</v>
      </c>
      <c r="G164" s="120">
        <v>69.59</v>
      </c>
      <c r="H164" s="120">
        <v>-9.86</v>
      </c>
      <c r="I164" s="121" t="s">
        <v>337</v>
      </c>
      <c r="J164" s="277" t="s">
        <v>1041</v>
      </c>
      <c r="K164" s="128" t="s">
        <v>1042</v>
      </c>
      <c r="L164" s="276" t="s">
        <v>1043</v>
      </c>
      <c r="M164" s="150"/>
      <c r="N164" s="282"/>
      <c r="O164" s="278" t="s">
        <v>1044</v>
      </c>
      <c r="P164" s="128" t="s">
        <v>557</v>
      </c>
      <c r="Q164" s="221"/>
      <c r="R164" s="223"/>
      <c r="S164" s="242"/>
      <c r="T164" s="438"/>
      <c r="U164" s="398" t="str">
        <f t="shared" ca="1" si="8"/>
        <v/>
      </c>
      <c r="V164" s="398"/>
      <c r="W164" s="398"/>
      <c r="X164" s="398"/>
      <c r="Y164" s="398"/>
      <c r="Z164" s="398"/>
    </row>
    <row r="165" spans="1:26" s="378" customFormat="1" ht="27.75" customHeight="1" x14ac:dyDescent="0.25">
      <c r="A165" s="479" t="s">
        <v>333</v>
      </c>
      <c r="B165" s="72" t="s">
        <v>297</v>
      </c>
      <c r="C165" s="23">
        <v>45396</v>
      </c>
      <c r="D165" s="119" t="s">
        <v>167</v>
      </c>
      <c r="E165" s="119" t="s">
        <v>166</v>
      </c>
      <c r="F165" s="119">
        <v>1</v>
      </c>
      <c r="G165" s="120">
        <v>59.99</v>
      </c>
      <c r="H165" s="120">
        <v>43.79</v>
      </c>
      <c r="I165" s="121"/>
      <c r="J165" s="277" t="s">
        <v>1045</v>
      </c>
      <c r="K165" s="128"/>
      <c r="L165" s="226"/>
      <c r="M165" s="150"/>
      <c r="N165" s="125"/>
      <c r="O165" s="125"/>
      <c r="P165" s="125"/>
      <c r="Q165" s="125"/>
      <c r="R165" s="128"/>
      <c r="S165" s="241"/>
      <c r="T165" s="439"/>
      <c r="U165" s="398" t="str">
        <f t="shared" ca="1" si="8"/>
        <v/>
      </c>
      <c r="V165" s="398"/>
      <c r="W165" s="398"/>
      <c r="X165" s="398"/>
      <c r="Y165" s="398"/>
      <c r="Z165" s="398"/>
    </row>
    <row r="166" spans="1:26" s="378" customFormat="1" ht="27.75" customHeight="1" x14ac:dyDescent="0.25">
      <c r="A166" s="479" t="s">
        <v>332</v>
      </c>
      <c r="B166" s="72" t="s">
        <v>297</v>
      </c>
      <c r="C166" s="23">
        <v>45386</v>
      </c>
      <c r="D166" s="119" t="s">
        <v>173</v>
      </c>
      <c r="E166" s="119" t="s">
        <v>172</v>
      </c>
      <c r="F166" s="119">
        <v>4</v>
      </c>
      <c r="G166" s="120">
        <v>260.2</v>
      </c>
      <c r="H166" s="120">
        <v>768.08</v>
      </c>
      <c r="I166" s="121"/>
      <c r="J166" s="275" t="s">
        <v>1046</v>
      </c>
      <c r="K166" s="276" t="s">
        <v>1047</v>
      </c>
      <c r="L166" s="276" t="s">
        <v>1048</v>
      </c>
      <c r="M166" s="150" t="s">
        <v>1049</v>
      </c>
      <c r="N166" s="276" t="s">
        <v>1050</v>
      </c>
      <c r="O166" s="276" t="s">
        <v>489</v>
      </c>
      <c r="P166" s="128" t="s">
        <v>490</v>
      </c>
      <c r="Q166" s="128" t="s">
        <v>570</v>
      </c>
      <c r="R166" s="276" t="s">
        <v>1051</v>
      </c>
      <c r="S166" s="241">
        <v>45387</v>
      </c>
      <c r="T166" s="439"/>
      <c r="U166" s="398" t="str">
        <f t="shared" ca="1" si="8"/>
        <v>Fora da garantia</v>
      </c>
      <c r="V166" s="398"/>
      <c r="W166" s="398"/>
      <c r="X166" s="398"/>
      <c r="Y166" s="398"/>
      <c r="Z166" s="398"/>
    </row>
    <row r="167" spans="1:26" s="378" customFormat="1" ht="27.75" customHeight="1" x14ac:dyDescent="0.25">
      <c r="A167" s="479" t="s">
        <v>325</v>
      </c>
      <c r="B167" s="72" t="s">
        <v>297</v>
      </c>
      <c r="C167" s="23">
        <v>45385</v>
      </c>
      <c r="D167" s="119" t="s">
        <v>79</v>
      </c>
      <c r="E167" s="119" t="s">
        <v>78</v>
      </c>
      <c r="F167" s="119">
        <v>1</v>
      </c>
      <c r="G167" s="120">
        <v>1223</v>
      </c>
      <c r="H167" s="120">
        <v>1034.29</v>
      </c>
      <c r="I167" s="121"/>
      <c r="J167" s="277" t="s">
        <v>1052</v>
      </c>
      <c r="K167" s="276" t="s">
        <v>1053</v>
      </c>
      <c r="L167" s="276" t="s">
        <v>1054</v>
      </c>
      <c r="M167" s="276" t="s">
        <v>1055</v>
      </c>
      <c r="N167" s="276" t="s">
        <v>1056</v>
      </c>
      <c r="O167" s="276" t="s">
        <v>1057</v>
      </c>
      <c r="P167" s="128" t="s">
        <v>1058</v>
      </c>
      <c r="Q167" s="128" t="s">
        <v>570</v>
      </c>
      <c r="R167" s="276" t="s">
        <v>1059</v>
      </c>
      <c r="S167" s="241">
        <v>45385</v>
      </c>
      <c r="T167" s="439">
        <v>9977</v>
      </c>
      <c r="U167" s="398" t="str">
        <f t="shared" ca="1" si="8"/>
        <v>Fora da garantia</v>
      </c>
      <c r="V167" s="398"/>
      <c r="W167" s="398"/>
      <c r="X167" s="398"/>
      <c r="Y167" s="398"/>
      <c r="Z167" s="398"/>
    </row>
    <row r="168" spans="1:26" s="378" customFormat="1" ht="27.75" customHeight="1" x14ac:dyDescent="0.25">
      <c r="A168" s="479" t="s">
        <v>331</v>
      </c>
      <c r="B168" s="72" t="s">
        <v>297</v>
      </c>
      <c r="C168" s="23">
        <v>45385</v>
      </c>
      <c r="D168" s="119" t="s">
        <v>165</v>
      </c>
      <c r="E168" s="119" t="s">
        <v>164</v>
      </c>
      <c r="F168" s="119">
        <v>4</v>
      </c>
      <c r="G168" s="120">
        <v>59.99</v>
      </c>
      <c r="H168" s="120">
        <v>175.16</v>
      </c>
      <c r="I168" s="121"/>
      <c r="J168" s="275" t="s">
        <v>1060</v>
      </c>
      <c r="K168" s="276" t="s">
        <v>1061</v>
      </c>
      <c r="L168" s="276" t="s">
        <v>1062</v>
      </c>
      <c r="M168" s="281" t="s">
        <v>1063</v>
      </c>
      <c r="N168" s="276" t="s">
        <v>1064</v>
      </c>
      <c r="O168" s="276" t="s">
        <v>1065</v>
      </c>
      <c r="P168" s="128" t="s">
        <v>854</v>
      </c>
      <c r="Q168" s="128" t="s">
        <v>570</v>
      </c>
      <c r="R168" s="276" t="s">
        <v>1066</v>
      </c>
      <c r="S168" s="241">
        <v>45392</v>
      </c>
      <c r="T168" s="439"/>
      <c r="U168" s="398" t="str">
        <f t="shared" ca="1" si="8"/>
        <v>Fora da garantia</v>
      </c>
      <c r="V168" s="398"/>
      <c r="W168" s="398"/>
      <c r="X168" s="398"/>
      <c r="Y168" s="398"/>
      <c r="Z168" s="398"/>
    </row>
    <row r="169" spans="1:26" s="378" customFormat="1" ht="27.75" customHeight="1" x14ac:dyDescent="0.25">
      <c r="A169" s="481" t="s">
        <v>330</v>
      </c>
      <c r="B169" s="72" t="s">
        <v>297</v>
      </c>
      <c r="C169" s="23">
        <v>45384</v>
      </c>
      <c r="D169" s="119" t="s">
        <v>105</v>
      </c>
      <c r="E169" s="119"/>
      <c r="F169" s="119">
        <v>1</v>
      </c>
      <c r="G169" s="120">
        <v>692.36</v>
      </c>
      <c r="H169" s="120">
        <v>549.71</v>
      </c>
      <c r="I169" s="121"/>
      <c r="J169" s="275" t="s">
        <v>1073</v>
      </c>
      <c r="K169" s="128" t="s">
        <v>1074</v>
      </c>
      <c r="L169" s="276" t="s">
        <v>1075</v>
      </c>
      <c r="M169" s="276" t="s">
        <v>1079</v>
      </c>
      <c r="N169" s="276" t="s">
        <v>1076</v>
      </c>
      <c r="O169" s="276" t="s">
        <v>1077</v>
      </c>
      <c r="P169" s="128" t="s">
        <v>677</v>
      </c>
      <c r="Q169" s="128" t="s">
        <v>570</v>
      </c>
      <c r="R169" s="276" t="s">
        <v>1078</v>
      </c>
      <c r="S169" s="241">
        <v>45394</v>
      </c>
      <c r="T169" s="439"/>
      <c r="U169" s="398" t="str">
        <f t="shared" ca="1" si="8"/>
        <v>Fora da garantia</v>
      </c>
      <c r="V169" s="398"/>
      <c r="W169" s="398"/>
      <c r="X169" s="398"/>
      <c r="Y169" s="398"/>
      <c r="Z169" s="398"/>
    </row>
    <row r="170" spans="1:26" s="378" customFormat="1" ht="27.75" customHeight="1" x14ac:dyDescent="0.25">
      <c r="A170" s="479" t="s">
        <v>326</v>
      </c>
      <c r="B170" s="72" t="s">
        <v>297</v>
      </c>
      <c r="C170" s="23">
        <v>45378</v>
      </c>
      <c r="D170" s="119" t="s">
        <v>17</v>
      </c>
      <c r="E170" s="119" t="s">
        <v>16</v>
      </c>
      <c r="F170" s="119">
        <v>1</v>
      </c>
      <c r="G170" s="120">
        <v>529.99</v>
      </c>
      <c r="H170" s="120">
        <v>415.94</v>
      </c>
      <c r="I170" s="121"/>
      <c r="J170" s="275" t="s">
        <v>1080</v>
      </c>
      <c r="K170" s="128" t="s">
        <v>1081</v>
      </c>
      <c r="L170" s="276" t="s">
        <v>1082</v>
      </c>
      <c r="M170" s="150" t="s">
        <v>1083</v>
      </c>
      <c r="N170" s="276" t="s">
        <v>1084</v>
      </c>
      <c r="O170" s="276" t="s">
        <v>1085</v>
      </c>
      <c r="P170" s="128" t="s">
        <v>513</v>
      </c>
      <c r="Q170" s="128" t="s">
        <v>570</v>
      </c>
      <c r="R170" s="276" t="s">
        <v>1086</v>
      </c>
      <c r="S170" s="241">
        <v>45383</v>
      </c>
      <c r="T170" s="439">
        <v>9976</v>
      </c>
      <c r="U170" s="398" t="str">
        <f t="shared" ca="1" si="8"/>
        <v>Fora da garantia</v>
      </c>
      <c r="V170" s="398"/>
      <c r="W170" s="398"/>
      <c r="X170" s="398"/>
      <c r="Y170" s="398"/>
      <c r="Z170" s="398"/>
    </row>
    <row r="171" spans="1:26" s="378" customFormat="1" ht="27.75" customHeight="1" x14ac:dyDescent="0.25">
      <c r="A171" s="479" t="s">
        <v>327</v>
      </c>
      <c r="B171" s="72" t="s">
        <v>297</v>
      </c>
      <c r="C171" s="23">
        <v>45378</v>
      </c>
      <c r="D171" s="119" t="s">
        <v>13</v>
      </c>
      <c r="E171" s="381" t="s">
        <v>12</v>
      </c>
      <c r="F171" s="119">
        <v>1</v>
      </c>
      <c r="G171" s="120">
        <v>159.99</v>
      </c>
      <c r="H171" s="120">
        <v>120.34</v>
      </c>
      <c r="I171" s="121"/>
      <c r="J171" s="275" t="s">
        <v>1087</v>
      </c>
      <c r="K171" s="276" t="s">
        <v>1088</v>
      </c>
      <c r="L171" s="276" t="s">
        <v>1089</v>
      </c>
      <c r="M171" s="276" t="s">
        <v>1090</v>
      </c>
      <c r="N171" s="276" t="s">
        <v>498</v>
      </c>
      <c r="O171" s="276" t="s">
        <v>1091</v>
      </c>
      <c r="P171" s="128" t="s">
        <v>677</v>
      </c>
      <c r="Q171" s="128" t="s">
        <v>570</v>
      </c>
      <c r="R171" s="276" t="s">
        <v>1092</v>
      </c>
      <c r="S171" s="241">
        <v>45383</v>
      </c>
      <c r="T171" s="439">
        <v>9975</v>
      </c>
      <c r="U171" s="398" t="str">
        <f t="shared" ca="1" si="8"/>
        <v>Fora da garantia</v>
      </c>
      <c r="V171" s="398"/>
      <c r="W171" s="398"/>
      <c r="X171" s="398"/>
      <c r="Y171" s="398"/>
      <c r="Z171" s="398"/>
    </row>
    <row r="172" spans="1:26" s="378" customFormat="1" ht="27.75" customHeight="1" x14ac:dyDescent="0.25">
      <c r="A172" s="479" t="s">
        <v>328</v>
      </c>
      <c r="B172" s="72" t="s">
        <v>298</v>
      </c>
      <c r="C172" s="23">
        <v>45378</v>
      </c>
      <c r="D172" s="119" t="s">
        <v>165</v>
      </c>
      <c r="E172" s="119" t="s">
        <v>164</v>
      </c>
      <c r="F172" s="119">
        <v>2</v>
      </c>
      <c r="G172" s="120">
        <v>59.99</v>
      </c>
      <c r="H172" s="120">
        <v>-87.58</v>
      </c>
      <c r="I172" s="121"/>
      <c r="J172" s="275" t="s">
        <v>1093</v>
      </c>
      <c r="K172" s="276" t="s">
        <v>1094</v>
      </c>
      <c r="L172" s="226"/>
      <c r="M172" s="150"/>
      <c r="N172" s="125"/>
      <c r="O172" s="125"/>
      <c r="P172" s="125"/>
      <c r="Q172" s="223"/>
      <c r="R172" s="223"/>
      <c r="S172" s="242"/>
      <c r="T172" s="438"/>
      <c r="U172" s="398" t="str">
        <f t="shared" ca="1" si="8"/>
        <v/>
      </c>
      <c r="V172" s="398"/>
      <c r="W172" s="398"/>
      <c r="X172" s="398"/>
      <c r="Y172" s="398"/>
      <c r="Z172" s="398"/>
    </row>
    <row r="173" spans="1:26" s="378" customFormat="1" ht="27.75" customHeight="1" x14ac:dyDescent="0.25">
      <c r="A173" s="479" t="s">
        <v>324</v>
      </c>
      <c r="B173" s="72" t="s">
        <v>297</v>
      </c>
      <c r="C173" s="23">
        <v>45377</v>
      </c>
      <c r="D173" s="119" t="s">
        <v>167</v>
      </c>
      <c r="E173" s="119" t="s">
        <v>166</v>
      </c>
      <c r="F173" s="119">
        <v>4</v>
      </c>
      <c r="G173" s="120">
        <v>59.99</v>
      </c>
      <c r="H173" s="120">
        <v>187.16</v>
      </c>
      <c r="I173" s="121"/>
      <c r="J173" s="275" t="s">
        <v>1095</v>
      </c>
      <c r="K173" s="128" t="s">
        <v>1096</v>
      </c>
      <c r="L173" s="276" t="s">
        <v>1097</v>
      </c>
      <c r="M173" s="150" t="s">
        <v>1105</v>
      </c>
      <c r="N173" s="278" t="s">
        <v>1098</v>
      </c>
      <c r="O173" s="276" t="s">
        <v>1099</v>
      </c>
      <c r="P173" s="128" t="s">
        <v>845</v>
      </c>
      <c r="Q173" s="128" t="s">
        <v>570</v>
      </c>
      <c r="R173" s="276" t="s">
        <v>1100</v>
      </c>
      <c r="S173" s="241">
        <v>45385</v>
      </c>
      <c r="T173" s="439"/>
      <c r="U173" s="398" t="str">
        <f t="shared" ca="1" si="8"/>
        <v>Fora da garantia</v>
      </c>
      <c r="V173" s="398"/>
      <c r="W173" s="398"/>
      <c r="X173" s="398"/>
      <c r="Y173" s="398"/>
      <c r="Z173" s="398"/>
    </row>
    <row r="174" spans="1:26" s="378" customFormat="1" ht="27.75" customHeight="1" x14ac:dyDescent="0.25">
      <c r="A174" s="479" t="s">
        <v>323</v>
      </c>
      <c r="B174" s="72" t="s">
        <v>297</v>
      </c>
      <c r="C174" s="23">
        <v>45372</v>
      </c>
      <c r="D174" s="119" t="s">
        <v>11</v>
      </c>
      <c r="E174" s="119" t="s">
        <v>10</v>
      </c>
      <c r="F174" s="119">
        <v>1</v>
      </c>
      <c r="G174" s="120">
        <v>119.99</v>
      </c>
      <c r="H174" s="120">
        <v>78.64</v>
      </c>
      <c r="I174" s="121"/>
      <c r="J174" s="275" t="s">
        <v>1101</v>
      </c>
      <c r="K174" s="276" t="s">
        <v>1102</v>
      </c>
      <c r="L174" s="276" t="s">
        <v>1103</v>
      </c>
      <c r="M174" s="276" t="s">
        <v>1104</v>
      </c>
      <c r="N174" s="276" t="s">
        <v>1106</v>
      </c>
      <c r="O174" s="276" t="s">
        <v>1107</v>
      </c>
      <c r="P174" s="128" t="s">
        <v>795</v>
      </c>
      <c r="Q174" s="128" t="s">
        <v>570</v>
      </c>
      <c r="R174" s="276" t="s">
        <v>1108</v>
      </c>
      <c r="S174" s="241">
        <v>45381</v>
      </c>
      <c r="T174" s="439"/>
      <c r="U174" s="398" t="str">
        <f t="shared" ca="1" si="8"/>
        <v>Fora da garantia</v>
      </c>
      <c r="V174" s="398"/>
      <c r="W174" s="398"/>
      <c r="X174" s="398"/>
      <c r="Y174" s="398"/>
      <c r="Z174" s="398"/>
    </row>
    <row r="175" spans="1:26" s="378" customFormat="1" ht="27.75" customHeight="1" x14ac:dyDescent="0.25">
      <c r="A175" s="479" t="s">
        <v>317</v>
      </c>
      <c r="B175" s="31" t="s">
        <v>298</v>
      </c>
      <c r="C175" s="23">
        <v>45371</v>
      </c>
      <c r="D175" s="119" t="s">
        <v>35</v>
      </c>
      <c r="E175" s="119" t="s">
        <v>34</v>
      </c>
      <c r="F175" s="119">
        <v>1</v>
      </c>
      <c r="G175" s="120">
        <v>119.97</v>
      </c>
      <c r="H175" s="120">
        <v>-99.58</v>
      </c>
      <c r="I175" s="121" t="s">
        <v>329</v>
      </c>
      <c r="J175" s="275" t="s">
        <v>1109</v>
      </c>
      <c r="K175" s="128" t="s">
        <v>1110</v>
      </c>
      <c r="L175" s="226"/>
      <c r="M175" s="150"/>
      <c r="N175" s="125"/>
      <c r="O175" s="125"/>
      <c r="P175" s="125"/>
      <c r="Q175" s="221"/>
      <c r="R175" s="223"/>
      <c r="S175" s="242"/>
      <c r="T175" s="438"/>
      <c r="U175" s="398" t="str">
        <f t="shared" ca="1" si="8"/>
        <v/>
      </c>
      <c r="V175" s="398"/>
      <c r="W175" s="398"/>
      <c r="X175" s="398"/>
      <c r="Y175" s="398"/>
      <c r="Z175" s="398"/>
    </row>
    <row r="176" spans="1:26" s="378" customFormat="1" ht="27.75" customHeight="1" x14ac:dyDescent="0.25">
      <c r="A176" s="479" t="s">
        <v>316</v>
      </c>
      <c r="B176" s="72" t="s">
        <v>297</v>
      </c>
      <c r="C176" s="23">
        <v>45370</v>
      </c>
      <c r="D176" s="119" t="s">
        <v>9</v>
      </c>
      <c r="E176" s="119" t="s">
        <v>8</v>
      </c>
      <c r="F176" s="119">
        <v>1</v>
      </c>
      <c r="G176" s="120">
        <v>2050</v>
      </c>
      <c r="H176" s="120">
        <v>1676.55</v>
      </c>
      <c r="I176" s="121"/>
      <c r="J176" s="277" t="s">
        <v>1111</v>
      </c>
      <c r="K176" s="276" t="s">
        <v>1112</v>
      </c>
      <c r="L176" s="276" t="s">
        <v>1113</v>
      </c>
      <c r="M176" s="150" t="s">
        <v>1114</v>
      </c>
      <c r="N176" s="276" t="s">
        <v>1115</v>
      </c>
      <c r="O176" s="276" t="s">
        <v>1116</v>
      </c>
      <c r="P176" s="128" t="s">
        <v>1117</v>
      </c>
      <c r="Q176" s="128" t="s">
        <v>570</v>
      </c>
      <c r="R176" s="276" t="s">
        <v>1118</v>
      </c>
      <c r="S176" s="241">
        <v>45377</v>
      </c>
      <c r="T176" s="439"/>
      <c r="U176" s="398" t="str">
        <f t="shared" ca="1" si="8"/>
        <v>Fora da garantia</v>
      </c>
      <c r="V176" s="398"/>
      <c r="W176" s="398"/>
      <c r="X176" s="398"/>
      <c r="Y176" s="398"/>
      <c r="Z176" s="398"/>
    </row>
    <row r="177" spans="1:26" s="378" customFormat="1" ht="27.75" customHeight="1" x14ac:dyDescent="0.25">
      <c r="A177" s="479" t="s">
        <v>315</v>
      </c>
      <c r="B177" s="72" t="s">
        <v>297</v>
      </c>
      <c r="C177" s="23">
        <v>45369</v>
      </c>
      <c r="D177" s="119" t="s">
        <v>105</v>
      </c>
      <c r="E177" s="119" t="s">
        <v>18</v>
      </c>
      <c r="F177" s="119">
        <v>1</v>
      </c>
      <c r="G177" s="120">
        <v>692.36</v>
      </c>
      <c r="H177" s="120">
        <v>549.71</v>
      </c>
      <c r="I177" s="121"/>
      <c r="J177" s="275" t="s">
        <v>1119</v>
      </c>
      <c r="K177" s="128" t="s">
        <v>1120</v>
      </c>
      <c r="L177" s="276" t="s">
        <v>1121</v>
      </c>
      <c r="M177" s="150" t="s">
        <v>1122</v>
      </c>
      <c r="N177" s="276" t="s">
        <v>1123</v>
      </c>
      <c r="O177" s="276" t="s">
        <v>1124</v>
      </c>
      <c r="P177" s="128" t="s">
        <v>513</v>
      </c>
      <c r="Q177" s="128" t="s">
        <v>570</v>
      </c>
      <c r="R177" s="276" t="s">
        <v>1125</v>
      </c>
      <c r="S177" s="241">
        <v>45376</v>
      </c>
      <c r="T177" s="439"/>
      <c r="U177" s="398" t="str">
        <f t="shared" ca="1" si="8"/>
        <v>Fora da garantia</v>
      </c>
      <c r="V177" s="398"/>
      <c r="W177" s="398"/>
      <c r="X177" s="398"/>
      <c r="Y177" s="398"/>
      <c r="Z177" s="398"/>
    </row>
    <row r="178" spans="1:26" s="378" customFormat="1" ht="27.75" customHeight="1" x14ac:dyDescent="0.25">
      <c r="A178" s="479" t="s">
        <v>314</v>
      </c>
      <c r="B178" s="72" t="s">
        <v>297</v>
      </c>
      <c r="C178" s="23">
        <v>45366</v>
      </c>
      <c r="D178" s="119" t="s">
        <v>165</v>
      </c>
      <c r="E178" s="119" t="s">
        <v>164</v>
      </c>
      <c r="F178" s="119">
        <v>6</v>
      </c>
      <c r="G178" s="120">
        <v>17.989999999999998</v>
      </c>
      <c r="H178" s="120">
        <v>57.18</v>
      </c>
      <c r="I178" s="121"/>
      <c r="J178" s="275" t="s">
        <v>1126</v>
      </c>
      <c r="K178" s="276" t="s">
        <v>1127</v>
      </c>
      <c r="L178" s="276" t="s">
        <v>1128</v>
      </c>
      <c r="M178" s="150" t="s">
        <v>1129</v>
      </c>
      <c r="N178" s="276" t="s">
        <v>1130</v>
      </c>
      <c r="O178" s="276" t="s">
        <v>586</v>
      </c>
      <c r="P178" s="128" t="s">
        <v>471</v>
      </c>
      <c r="Q178" s="128" t="s">
        <v>570</v>
      </c>
      <c r="R178" s="276" t="s">
        <v>1131</v>
      </c>
      <c r="S178" s="241">
        <v>45371</v>
      </c>
      <c r="T178" s="439"/>
      <c r="U178" s="398" t="str">
        <f t="shared" ca="1" si="8"/>
        <v>Fora da garantia</v>
      </c>
      <c r="V178" s="398"/>
      <c r="W178" s="398"/>
      <c r="X178" s="398"/>
      <c r="Y178" s="398"/>
      <c r="Z178" s="398"/>
    </row>
    <row r="179" spans="1:26" s="378" customFormat="1" ht="27.75" customHeight="1" x14ac:dyDescent="0.25">
      <c r="A179" s="479" t="s">
        <v>307</v>
      </c>
      <c r="B179" s="72" t="s">
        <v>297</v>
      </c>
      <c r="C179" s="23">
        <v>45357</v>
      </c>
      <c r="D179" s="119" t="s">
        <v>308</v>
      </c>
      <c r="E179" s="119"/>
      <c r="F179" s="119">
        <v>1</v>
      </c>
      <c r="G179" s="120">
        <v>9.99</v>
      </c>
      <c r="H179" s="120">
        <v>2.69</v>
      </c>
      <c r="I179" s="121"/>
      <c r="J179" s="275" t="s">
        <v>1132</v>
      </c>
      <c r="K179" s="276" t="s">
        <v>1133</v>
      </c>
      <c r="L179" s="276" t="s">
        <v>1134</v>
      </c>
      <c r="M179" s="276" t="s">
        <v>1135</v>
      </c>
      <c r="N179" s="276" t="s">
        <v>1136</v>
      </c>
      <c r="O179" s="128" t="s">
        <v>904</v>
      </c>
      <c r="P179" s="128" t="s">
        <v>490</v>
      </c>
      <c r="Q179" s="128" t="s">
        <v>570</v>
      </c>
      <c r="R179" s="276" t="s">
        <v>1137</v>
      </c>
      <c r="S179" s="241">
        <v>45357</v>
      </c>
      <c r="T179" s="439"/>
      <c r="U179" s="398" t="str">
        <f t="shared" ca="1" si="8"/>
        <v>Fora da garantia</v>
      </c>
      <c r="V179" s="398"/>
      <c r="W179" s="398"/>
      <c r="X179" s="398"/>
      <c r="Y179" s="398"/>
      <c r="Z179" s="398"/>
    </row>
    <row r="180" spans="1:26" s="378" customFormat="1" ht="27.75" customHeight="1" x14ac:dyDescent="0.25">
      <c r="A180" s="479" t="s">
        <v>309</v>
      </c>
      <c r="B180" s="72" t="s">
        <v>297</v>
      </c>
      <c r="C180" s="23">
        <v>45357</v>
      </c>
      <c r="D180" s="119" t="s">
        <v>19</v>
      </c>
      <c r="E180" s="119" t="s">
        <v>18</v>
      </c>
      <c r="F180" s="119">
        <v>1</v>
      </c>
      <c r="G180" s="120">
        <v>698</v>
      </c>
      <c r="H180" s="120">
        <v>555.89</v>
      </c>
      <c r="I180" s="121"/>
      <c r="J180" s="275" t="s">
        <v>1138</v>
      </c>
      <c r="K180" s="276" t="s">
        <v>1139</v>
      </c>
      <c r="L180" s="276" t="s">
        <v>1140</v>
      </c>
      <c r="M180" s="276" t="s">
        <v>1141</v>
      </c>
      <c r="N180" s="276" t="s">
        <v>1142</v>
      </c>
      <c r="O180" s="276" t="s">
        <v>1143</v>
      </c>
      <c r="P180" s="128" t="s">
        <v>677</v>
      </c>
      <c r="Q180" s="128" t="s">
        <v>570</v>
      </c>
      <c r="R180" s="276" t="s">
        <v>1144</v>
      </c>
      <c r="S180" s="241">
        <v>45363</v>
      </c>
      <c r="T180" s="439"/>
      <c r="U180" s="398" t="str">
        <f t="shared" ca="1" si="8"/>
        <v>Fora da garantia</v>
      </c>
      <c r="V180" s="398"/>
      <c r="W180" s="398"/>
      <c r="X180" s="398"/>
      <c r="Y180" s="398"/>
      <c r="Z180" s="398"/>
    </row>
    <row r="181" spans="1:26" s="378" customFormat="1" ht="27.75" customHeight="1" x14ac:dyDescent="0.25">
      <c r="A181" s="479" t="s">
        <v>306</v>
      </c>
      <c r="B181" s="31" t="s">
        <v>298</v>
      </c>
      <c r="C181" s="23">
        <v>45355</v>
      </c>
      <c r="D181" s="119" t="s">
        <v>312</v>
      </c>
      <c r="E181" s="119"/>
      <c r="F181" s="119">
        <v>2</v>
      </c>
      <c r="G181" s="120">
        <v>19.989999999999998</v>
      </c>
      <c r="H181" s="120">
        <v>-56.34</v>
      </c>
      <c r="I181" s="121" t="s">
        <v>313</v>
      </c>
      <c r="J181" s="275" t="s">
        <v>1145</v>
      </c>
      <c r="K181" s="128" t="s">
        <v>1146</v>
      </c>
      <c r="L181" s="402" t="s">
        <v>1147</v>
      </c>
      <c r="M181" s="150" t="s">
        <v>1148</v>
      </c>
      <c r="N181" s="128" t="s">
        <v>1149</v>
      </c>
      <c r="O181" s="128" t="s">
        <v>1150</v>
      </c>
      <c r="P181" s="128" t="s">
        <v>557</v>
      </c>
      <c r="Q181" s="221"/>
      <c r="R181" s="223"/>
      <c r="S181" s="242"/>
      <c r="T181" s="440"/>
      <c r="U181" s="398" t="str">
        <f t="shared" ca="1" si="8"/>
        <v/>
      </c>
      <c r="V181" s="398"/>
      <c r="W181" s="398"/>
      <c r="X181" s="398"/>
      <c r="Y181" s="398"/>
      <c r="Z181" s="398"/>
    </row>
    <row r="182" spans="1:26" s="378" customFormat="1" ht="27.75" customHeight="1" x14ac:dyDescent="0.25">
      <c r="A182" s="479" t="s">
        <v>305</v>
      </c>
      <c r="B182" s="72" t="s">
        <v>297</v>
      </c>
      <c r="C182" s="23">
        <v>45345</v>
      </c>
      <c r="D182" s="119" t="s">
        <v>189</v>
      </c>
      <c r="E182" s="119" t="s">
        <v>188</v>
      </c>
      <c r="F182" s="119">
        <v>1</v>
      </c>
      <c r="G182" s="120">
        <v>11.2</v>
      </c>
      <c r="H182" s="120">
        <v>3.3</v>
      </c>
      <c r="I182" s="121"/>
      <c r="J182" s="275" t="s">
        <v>1151</v>
      </c>
      <c r="K182" s="276" t="s">
        <v>1152</v>
      </c>
      <c r="L182" s="276" t="s">
        <v>1153</v>
      </c>
      <c r="M182" s="276" t="s">
        <v>1154</v>
      </c>
      <c r="N182" s="276" t="s">
        <v>1155</v>
      </c>
      <c r="O182" s="128" t="s">
        <v>713</v>
      </c>
      <c r="P182" s="128" t="s">
        <v>490</v>
      </c>
      <c r="Q182" s="128" t="s">
        <v>570</v>
      </c>
      <c r="R182" s="128" t="s">
        <v>1156</v>
      </c>
      <c r="S182" s="241">
        <v>45346</v>
      </c>
      <c r="T182" s="441"/>
      <c r="U182" s="398" t="str">
        <f t="shared" ca="1" si="8"/>
        <v>Fora da garantia</v>
      </c>
      <c r="V182" s="398"/>
      <c r="W182" s="398"/>
      <c r="X182" s="398"/>
      <c r="Y182" s="398"/>
      <c r="Z182" s="398"/>
    </row>
    <row r="183" spans="1:26" s="378" customFormat="1" ht="27.75" customHeight="1" x14ac:dyDescent="0.25">
      <c r="A183" s="479" t="s">
        <v>304</v>
      </c>
      <c r="B183" s="72" t="s">
        <v>297</v>
      </c>
      <c r="C183" s="23">
        <v>45342</v>
      </c>
      <c r="D183" s="119" t="s">
        <v>301</v>
      </c>
      <c r="E183" s="119"/>
      <c r="F183" s="119">
        <v>1</v>
      </c>
      <c r="G183" s="120">
        <v>12.07</v>
      </c>
      <c r="H183" s="120">
        <v>3.78</v>
      </c>
      <c r="I183" s="121"/>
      <c r="J183" s="277" t="s">
        <v>1157</v>
      </c>
      <c r="K183" s="276" t="s">
        <v>1158</v>
      </c>
      <c r="L183" s="276" t="s">
        <v>1159</v>
      </c>
      <c r="M183" s="150" t="s">
        <v>1160</v>
      </c>
      <c r="N183" s="276" t="s">
        <v>1161</v>
      </c>
      <c r="O183" s="276" t="s">
        <v>713</v>
      </c>
      <c r="P183" s="128" t="s">
        <v>490</v>
      </c>
      <c r="Q183" s="128" t="s">
        <v>570</v>
      </c>
      <c r="R183" s="276" t="s">
        <v>1162</v>
      </c>
      <c r="S183" s="241">
        <v>45344</v>
      </c>
      <c r="T183" s="441"/>
      <c r="U183" s="398" t="str">
        <f t="shared" ca="1" si="8"/>
        <v>Fora da garantia</v>
      </c>
      <c r="V183" s="398"/>
      <c r="W183" s="398"/>
      <c r="X183" s="398"/>
      <c r="Y183" s="398"/>
      <c r="Z183" s="398"/>
    </row>
    <row r="184" spans="1:26" s="378" customFormat="1" ht="27.75" customHeight="1" x14ac:dyDescent="0.25">
      <c r="A184" s="482" t="s">
        <v>302</v>
      </c>
      <c r="B184" s="72" t="s">
        <v>297</v>
      </c>
      <c r="C184" s="94">
        <v>45338</v>
      </c>
      <c r="D184" s="73" t="s">
        <v>301</v>
      </c>
      <c r="E184" s="73"/>
      <c r="F184" s="73">
        <v>1</v>
      </c>
      <c r="G184" s="69">
        <v>12.01</v>
      </c>
      <c r="H184" s="69">
        <v>3.78</v>
      </c>
      <c r="I184" s="118"/>
      <c r="J184" s="284" t="s">
        <v>1163</v>
      </c>
      <c r="K184" s="276" t="s">
        <v>1164</v>
      </c>
      <c r="L184" s="276" t="s">
        <v>1165</v>
      </c>
      <c r="M184" s="276" t="s">
        <v>1166</v>
      </c>
      <c r="N184" s="276" t="s">
        <v>1161</v>
      </c>
      <c r="O184" s="276" t="s">
        <v>713</v>
      </c>
      <c r="P184" s="127" t="s">
        <v>490</v>
      </c>
      <c r="Q184" s="127" t="s">
        <v>570</v>
      </c>
      <c r="R184" s="276" t="s">
        <v>1167</v>
      </c>
      <c r="S184" s="244">
        <v>45342</v>
      </c>
      <c r="T184" s="442"/>
      <c r="U184" s="398" t="str">
        <f t="shared" ca="1" si="8"/>
        <v>Fora da garantia</v>
      </c>
      <c r="V184" s="398"/>
      <c r="W184" s="398"/>
      <c r="X184" s="398"/>
      <c r="Y184" s="398"/>
      <c r="Z184" s="398"/>
    </row>
    <row r="185" spans="1:26" s="378" customFormat="1" ht="27.75" customHeight="1" x14ac:dyDescent="0.25">
      <c r="A185" s="479" t="s">
        <v>303</v>
      </c>
      <c r="B185" s="72" t="s">
        <v>297</v>
      </c>
      <c r="C185" s="23">
        <v>45338</v>
      </c>
      <c r="D185" s="119" t="s">
        <v>9</v>
      </c>
      <c r="E185" s="119" t="s">
        <v>8</v>
      </c>
      <c r="F185" s="119">
        <v>1</v>
      </c>
      <c r="G185" s="120">
        <v>2050</v>
      </c>
      <c r="H185" s="120">
        <v>1671.56</v>
      </c>
      <c r="I185" s="121"/>
      <c r="J185" s="275" t="s">
        <v>1168</v>
      </c>
      <c r="K185" s="128" t="s">
        <v>1169</v>
      </c>
      <c r="L185" s="402" t="s">
        <v>1170</v>
      </c>
      <c r="M185" s="276" t="s">
        <v>1171</v>
      </c>
      <c r="N185" s="276" t="s">
        <v>1172</v>
      </c>
      <c r="O185" s="276" t="s">
        <v>1173</v>
      </c>
      <c r="P185" s="128" t="s">
        <v>854</v>
      </c>
      <c r="Q185" s="128" t="s">
        <v>570</v>
      </c>
      <c r="R185" s="276" t="s">
        <v>1174</v>
      </c>
      <c r="S185" s="241">
        <v>45349</v>
      </c>
      <c r="T185" s="441"/>
      <c r="U185" s="398" t="str">
        <f t="shared" ca="1" si="8"/>
        <v>Fora da garantia</v>
      </c>
      <c r="V185" s="398"/>
      <c r="W185" s="398"/>
      <c r="X185" s="398"/>
      <c r="Y185" s="398"/>
      <c r="Z185" s="398"/>
    </row>
    <row r="186" spans="1:26" s="378" customFormat="1" ht="27.75" customHeight="1" x14ac:dyDescent="0.25">
      <c r="A186" s="483" t="s">
        <v>300</v>
      </c>
      <c r="B186" s="160" t="s">
        <v>297</v>
      </c>
      <c r="C186" s="161">
        <v>45295</v>
      </c>
      <c r="D186" s="73" t="s">
        <v>19</v>
      </c>
      <c r="E186" s="73" t="s">
        <v>18</v>
      </c>
      <c r="F186" s="162">
        <v>1</v>
      </c>
      <c r="G186" s="163">
        <v>720</v>
      </c>
      <c r="H186" s="163">
        <v>606.66</v>
      </c>
      <c r="I186" s="164"/>
      <c r="J186" s="204"/>
      <c r="K186" s="165"/>
      <c r="L186" s="227"/>
      <c r="M186" s="166"/>
      <c r="N186" s="167"/>
      <c r="O186" s="167"/>
      <c r="P186" s="167"/>
      <c r="Q186" s="167"/>
      <c r="R186" s="165"/>
      <c r="S186" s="245"/>
      <c r="T186" s="442"/>
      <c r="U186" s="398" t="str">
        <f t="shared" ca="1" si="8"/>
        <v/>
      </c>
      <c r="V186" s="398"/>
      <c r="W186" s="398"/>
      <c r="X186" s="398"/>
      <c r="Y186" s="398"/>
      <c r="Z186" s="398"/>
    </row>
    <row r="187" spans="1:26" ht="27.75" customHeight="1" x14ac:dyDescent="0.25">
      <c r="A187" s="114"/>
      <c r="B187" s="115"/>
      <c r="C187" s="246"/>
      <c r="D187" s="105"/>
      <c r="E187" s="105"/>
      <c r="F187" s="250"/>
      <c r="G187" s="116"/>
      <c r="H187" s="117"/>
      <c r="I187" s="341"/>
      <c r="J187" s="144"/>
      <c r="K187" s="136"/>
      <c r="L187" s="228"/>
      <c r="M187" s="137"/>
      <c r="N187" s="138"/>
      <c r="O187" s="138"/>
      <c r="P187" s="138"/>
      <c r="Q187" s="138"/>
      <c r="R187" s="137"/>
      <c r="S187" s="168"/>
      <c r="U187" s="444"/>
      <c r="V187" s="78"/>
      <c r="W187" s="78"/>
      <c r="X187" s="78"/>
      <c r="Y187" s="78"/>
      <c r="Z187" s="78"/>
    </row>
    <row r="188" spans="1:26" ht="27.75" customHeight="1" x14ac:dyDescent="0.25">
      <c r="A188" s="71"/>
      <c r="B188" s="75"/>
      <c r="C188" s="247"/>
      <c r="D188" s="105"/>
      <c r="E188" s="105"/>
      <c r="F188" s="122"/>
      <c r="G188" s="79"/>
      <c r="H188" s="79"/>
      <c r="I188" s="342"/>
      <c r="J188" s="145"/>
      <c r="K188" s="139"/>
      <c r="L188" s="228"/>
      <c r="M188" s="140"/>
      <c r="N188" s="141"/>
      <c r="O188" s="141"/>
      <c r="P188" s="141"/>
      <c r="Q188" s="141"/>
      <c r="R188" s="140"/>
      <c r="S188" s="169"/>
      <c r="T188" s="416"/>
      <c r="U188" s="444"/>
      <c r="V188" s="78"/>
      <c r="W188" s="78"/>
      <c r="X188" s="78"/>
      <c r="Y188" s="78"/>
      <c r="Z188" s="78"/>
    </row>
    <row r="189" spans="1:26" ht="27.75" customHeight="1" x14ac:dyDescent="0.25">
      <c r="A189" s="70"/>
      <c r="B189" s="80"/>
      <c r="C189" s="248"/>
      <c r="D189" s="105"/>
      <c r="E189" s="105"/>
      <c r="F189" s="122"/>
      <c r="G189" s="79"/>
      <c r="H189" s="79"/>
      <c r="I189" s="343"/>
      <c r="J189" s="145"/>
      <c r="K189" s="139"/>
      <c r="L189" s="228"/>
      <c r="M189" s="140"/>
      <c r="N189" s="141"/>
      <c r="O189" s="141"/>
      <c r="P189" s="141"/>
      <c r="Q189" s="141"/>
      <c r="R189" s="140"/>
      <c r="S189" s="169"/>
      <c r="T189" s="416"/>
      <c r="U189" s="444"/>
      <c r="V189" s="78"/>
      <c r="W189" s="78"/>
      <c r="X189" s="78"/>
      <c r="Y189" s="78"/>
      <c r="Z189" s="78"/>
    </row>
    <row r="190" spans="1:26" ht="27.75" customHeight="1" x14ac:dyDescent="0.25">
      <c r="A190" s="70"/>
      <c r="B190" s="80"/>
      <c r="C190" s="248"/>
      <c r="D190" s="105"/>
      <c r="E190" s="105"/>
      <c r="F190" s="122"/>
      <c r="G190" s="79"/>
      <c r="H190" s="79"/>
      <c r="I190" s="343"/>
      <c r="J190" s="146"/>
      <c r="K190" s="139"/>
      <c r="L190" s="228"/>
      <c r="M190" s="140"/>
      <c r="N190" s="141"/>
      <c r="O190" s="141"/>
      <c r="P190" s="141"/>
      <c r="Q190" s="141"/>
      <c r="R190" s="140"/>
      <c r="S190" s="169"/>
      <c r="T190" s="416"/>
      <c r="U190" s="444"/>
      <c r="V190" s="78"/>
      <c r="W190" s="78"/>
      <c r="X190" s="78"/>
      <c r="Y190" s="78"/>
      <c r="Z190" s="78"/>
    </row>
    <row r="191" spans="1:26" ht="27.75" customHeight="1" x14ac:dyDescent="0.25">
      <c r="A191" s="70"/>
      <c r="B191" s="80"/>
      <c r="C191" s="248"/>
      <c r="D191" s="105"/>
      <c r="E191" s="105"/>
      <c r="F191" s="122"/>
      <c r="G191" s="79"/>
      <c r="H191" s="79"/>
      <c r="I191" s="344"/>
      <c r="J191" s="147"/>
      <c r="K191" s="139"/>
      <c r="L191" s="228"/>
      <c r="M191" s="140"/>
      <c r="N191" s="141"/>
      <c r="O191" s="141"/>
      <c r="P191" s="141"/>
      <c r="Q191" s="141"/>
      <c r="R191" s="140"/>
      <c r="S191" s="169"/>
      <c r="T191" s="416"/>
      <c r="U191" s="444"/>
      <c r="V191" s="78"/>
      <c r="W191" s="78"/>
      <c r="X191" s="78"/>
      <c r="Y191" s="78"/>
      <c r="Z191" s="78"/>
    </row>
    <row r="192" spans="1:26" ht="27.75" customHeight="1" x14ac:dyDescent="0.25">
      <c r="A192" s="70"/>
      <c r="B192" s="80"/>
      <c r="C192" s="95"/>
      <c r="D192" s="105"/>
      <c r="E192" s="105"/>
      <c r="F192" s="95"/>
      <c r="G192" s="79"/>
      <c r="H192" s="79"/>
      <c r="I192" s="345"/>
      <c r="J192" s="148"/>
      <c r="K192" s="139"/>
      <c r="L192" s="228"/>
      <c r="M192" s="140"/>
      <c r="N192" s="141"/>
      <c r="O192" s="141"/>
      <c r="P192" s="141"/>
      <c r="Q192" s="141"/>
      <c r="R192" s="140"/>
      <c r="S192" s="169"/>
      <c r="T192" s="416"/>
      <c r="U192" s="444"/>
      <c r="V192" s="78"/>
      <c r="W192" s="78"/>
      <c r="X192" s="78"/>
      <c r="Y192" s="78"/>
      <c r="Z192" s="78"/>
    </row>
    <row r="193" spans="1:26" ht="27.75" customHeight="1" x14ac:dyDescent="0.25">
      <c r="A193" s="70"/>
      <c r="B193" s="80"/>
      <c r="C193" s="95"/>
      <c r="D193" s="105"/>
      <c r="E193" s="105"/>
      <c r="F193" s="95"/>
      <c r="G193" s="79"/>
      <c r="H193" s="79"/>
      <c r="I193" s="345"/>
      <c r="J193" s="148"/>
      <c r="K193" s="139"/>
      <c r="L193" s="228"/>
      <c r="M193" s="140"/>
      <c r="N193" s="141"/>
      <c r="O193" s="141"/>
      <c r="P193" s="141"/>
      <c r="Q193" s="141"/>
      <c r="R193" s="140"/>
      <c r="S193" s="169"/>
      <c r="T193" s="416"/>
      <c r="U193" s="444"/>
      <c r="V193" s="78"/>
      <c r="W193" s="78"/>
      <c r="X193" s="78"/>
      <c r="Y193" s="78"/>
      <c r="Z193" s="78"/>
    </row>
    <row r="194" spans="1:26" ht="27.75" customHeight="1" x14ac:dyDescent="0.25">
      <c r="A194" s="70"/>
      <c r="B194" s="80"/>
      <c r="C194" s="95"/>
      <c r="D194" s="105"/>
      <c r="E194" s="105"/>
      <c r="F194" s="95"/>
      <c r="G194" s="79"/>
      <c r="H194" s="79"/>
      <c r="I194" s="345"/>
      <c r="J194" s="230"/>
      <c r="K194" s="139"/>
      <c r="M194" s="140"/>
      <c r="N194" s="141"/>
      <c r="O194" s="141"/>
      <c r="P194" s="141"/>
      <c r="Q194" s="141"/>
      <c r="R194" s="140"/>
      <c r="S194" s="169"/>
      <c r="T194" s="416"/>
      <c r="U194" s="444"/>
      <c r="V194" s="78"/>
      <c r="W194" s="78"/>
      <c r="X194" s="78"/>
      <c r="Y194" s="78"/>
      <c r="Z194" s="78"/>
    </row>
    <row r="195" spans="1:26" ht="27.75" customHeight="1" x14ac:dyDescent="0.25">
      <c r="A195" s="70"/>
      <c r="B195" s="80"/>
      <c r="C195" s="95"/>
      <c r="D195" s="105"/>
      <c r="E195" s="105"/>
      <c r="F195" s="95"/>
      <c r="G195" s="79"/>
      <c r="H195" s="79"/>
      <c r="I195" s="345"/>
      <c r="J195" s="230"/>
      <c r="K195" s="139"/>
      <c r="M195" s="140"/>
      <c r="N195" s="141"/>
      <c r="O195" s="141"/>
      <c r="P195" s="141"/>
      <c r="Q195" s="141"/>
      <c r="R195" s="140"/>
      <c r="S195" s="169"/>
      <c r="T195" s="416"/>
      <c r="U195" s="444"/>
      <c r="V195" s="78"/>
      <c r="W195" s="78"/>
      <c r="X195" s="78"/>
      <c r="Y195" s="78"/>
      <c r="Z195" s="78"/>
    </row>
    <row r="196" spans="1:26" ht="27.75" customHeight="1" x14ac:dyDescent="0.25">
      <c r="A196" s="70"/>
      <c r="B196" s="80"/>
      <c r="C196" s="95"/>
      <c r="D196" s="105"/>
      <c r="E196" s="105"/>
      <c r="F196" s="95"/>
      <c r="G196" s="79"/>
      <c r="H196" s="79"/>
      <c r="I196" s="345"/>
      <c r="J196" s="230"/>
      <c r="K196" s="139"/>
      <c r="M196" s="140"/>
      <c r="N196" s="141"/>
      <c r="O196" s="141"/>
      <c r="P196" s="141"/>
      <c r="Q196" s="141"/>
      <c r="R196" s="140"/>
      <c r="S196" s="169"/>
      <c r="T196" s="416"/>
      <c r="U196" s="444"/>
      <c r="V196" s="78"/>
      <c r="W196" s="78"/>
      <c r="X196" s="78"/>
      <c r="Y196" s="78"/>
      <c r="Z196" s="78"/>
    </row>
    <row r="197" spans="1:26" ht="27.75" customHeight="1" x14ac:dyDescent="0.25">
      <c r="A197" s="70"/>
      <c r="B197" s="80"/>
      <c r="C197" s="95"/>
      <c r="D197" s="105"/>
      <c r="E197" s="105"/>
      <c r="F197" s="95"/>
      <c r="G197" s="79"/>
      <c r="H197" s="79"/>
      <c r="I197" s="345"/>
      <c r="J197" s="230"/>
      <c r="K197" s="139"/>
      <c r="M197" s="140"/>
      <c r="N197" s="141"/>
      <c r="O197" s="141"/>
      <c r="P197" s="141"/>
      <c r="Q197" s="141"/>
      <c r="R197" s="140"/>
      <c r="S197" s="169"/>
      <c r="T197" s="416"/>
      <c r="U197" s="444"/>
      <c r="V197" s="78"/>
      <c r="W197" s="78"/>
      <c r="X197" s="78"/>
      <c r="Y197" s="78"/>
      <c r="Z197" s="78"/>
    </row>
    <row r="198" spans="1:26" ht="27.75" customHeight="1" x14ac:dyDescent="0.25">
      <c r="A198" s="70"/>
      <c r="B198" s="80"/>
      <c r="C198" s="95"/>
      <c r="D198" s="105"/>
      <c r="E198" s="105"/>
      <c r="F198" s="95"/>
      <c r="G198" s="79"/>
      <c r="H198" s="79"/>
      <c r="I198" s="345"/>
      <c r="J198" s="230"/>
      <c r="K198" s="139"/>
      <c r="M198" s="140"/>
      <c r="N198" s="141"/>
      <c r="O198" s="141"/>
      <c r="P198" s="141"/>
      <c r="Q198" s="141"/>
      <c r="R198" s="140"/>
      <c r="S198" s="169"/>
      <c r="T198" s="416"/>
      <c r="U198" s="444"/>
      <c r="V198" s="78"/>
      <c r="W198" s="78"/>
      <c r="X198" s="78"/>
      <c r="Y198" s="78"/>
      <c r="Z198" s="78"/>
    </row>
    <row r="199" spans="1:26" ht="27.75" customHeight="1" x14ac:dyDescent="0.25">
      <c r="A199" s="70"/>
      <c r="B199" s="80"/>
      <c r="C199" s="95"/>
      <c r="D199" s="105"/>
      <c r="E199" s="105"/>
      <c r="F199" s="95"/>
      <c r="G199" s="79"/>
      <c r="H199" s="79"/>
      <c r="I199" s="345"/>
      <c r="J199" s="230"/>
      <c r="K199" s="139"/>
      <c r="M199" s="140"/>
      <c r="N199" s="141"/>
      <c r="O199" s="141"/>
      <c r="P199" s="141"/>
      <c r="Q199" s="141"/>
      <c r="R199" s="140"/>
      <c r="S199" s="169"/>
      <c r="T199" s="416"/>
      <c r="U199" s="444"/>
      <c r="V199" s="78"/>
      <c r="W199" s="78"/>
      <c r="X199" s="78"/>
      <c r="Y199" s="78"/>
      <c r="Z199" s="78"/>
    </row>
    <row r="200" spans="1:26" ht="27.75" customHeight="1" x14ac:dyDescent="0.25">
      <c r="A200" s="70"/>
      <c r="B200" s="80"/>
      <c r="C200" s="95"/>
      <c r="D200" s="105"/>
      <c r="E200" s="105"/>
      <c r="F200" s="95"/>
      <c r="G200" s="79"/>
      <c r="H200" s="79"/>
      <c r="I200" s="345"/>
      <c r="J200" s="230"/>
      <c r="K200" s="139"/>
      <c r="M200" s="140"/>
      <c r="N200" s="141"/>
      <c r="O200" s="141"/>
      <c r="P200" s="141"/>
      <c r="Q200" s="141"/>
      <c r="R200" s="140"/>
      <c r="S200" s="169"/>
      <c r="T200" s="416"/>
      <c r="U200" s="444"/>
      <c r="V200" s="78"/>
      <c r="W200" s="78"/>
      <c r="X200" s="78"/>
      <c r="Y200" s="78"/>
      <c r="Z200" s="78"/>
    </row>
    <row r="201" spans="1:26" ht="27.75" customHeight="1" x14ac:dyDescent="0.25">
      <c r="A201" s="70"/>
      <c r="B201" s="80"/>
      <c r="C201" s="95"/>
      <c r="D201" s="105"/>
      <c r="E201" s="105"/>
      <c r="F201" s="95"/>
      <c r="G201" s="79"/>
      <c r="H201" s="79"/>
      <c r="I201" s="345"/>
      <c r="J201" s="230"/>
      <c r="K201" s="139"/>
      <c r="M201" s="140"/>
      <c r="N201" s="141"/>
      <c r="O201" s="141"/>
      <c r="P201" s="141"/>
      <c r="Q201" s="141"/>
      <c r="R201" s="140"/>
      <c r="S201" s="169"/>
      <c r="T201" s="416"/>
      <c r="U201" s="444"/>
      <c r="V201" s="78"/>
      <c r="W201" s="78"/>
      <c r="X201" s="78"/>
      <c r="Y201" s="78"/>
      <c r="Z201" s="78"/>
    </row>
    <row r="202" spans="1:26" ht="27.75" customHeight="1" x14ac:dyDescent="0.25">
      <c r="A202" s="70"/>
      <c r="B202" s="80"/>
      <c r="C202" s="95"/>
      <c r="D202" s="105"/>
      <c r="E202" s="105"/>
      <c r="F202" s="95"/>
      <c r="G202" s="79"/>
      <c r="H202" s="79"/>
      <c r="I202" s="345"/>
      <c r="J202" s="230"/>
      <c r="K202" s="139"/>
      <c r="M202" s="140"/>
      <c r="N202" s="141"/>
      <c r="O202" s="141"/>
      <c r="P202" s="141"/>
      <c r="Q202" s="141"/>
      <c r="R202" s="140"/>
      <c r="S202" s="169"/>
      <c r="T202" s="416"/>
      <c r="U202" s="444"/>
      <c r="V202" s="78"/>
      <c r="W202" s="78"/>
      <c r="X202" s="78"/>
      <c r="Y202" s="78"/>
      <c r="Z202" s="78"/>
    </row>
    <row r="203" spans="1:26" ht="27.75" customHeight="1" x14ac:dyDescent="0.25">
      <c r="A203" s="70"/>
      <c r="B203" s="80"/>
      <c r="C203" s="95"/>
      <c r="D203" s="105"/>
      <c r="E203" s="105"/>
      <c r="F203" s="95"/>
      <c r="G203" s="79"/>
      <c r="H203" s="79"/>
      <c r="I203" s="345"/>
      <c r="J203" s="230"/>
      <c r="K203" s="139"/>
      <c r="M203" s="140"/>
      <c r="N203" s="141"/>
      <c r="O203" s="141"/>
      <c r="P203" s="141"/>
      <c r="Q203" s="141"/>
      <c r="R203" s="140"/>
      <c r="S203" s="169"/>
      <c r="T203" s="416"/>
      <c r="U203" s="444"/>
      <c r="V203" s="78"/>
      <c r="W203" s="78"/>
      <c r="X203" s="78"/>
      <c r="Y203" s="78"/>
      <c r="Z203" s="78"/>
    </row>
    <row r="204" spans="1:26" ht="27.75" customHeight="1" x14ac:dyDescent="0.25">
      <c r="A204" s="70"/>
      <c r="B204" s="80"/>
      <c r="C204" s="95"/>
      <c r="D204" s="105"/>
      <c r="E204" s="105"/>
      <c r="F204" s="95"/>
      <c r="G204" s="79"/>
      <c r="H204" s="79"/>
      <c r="I204" s="345"/>
      <c r="J204" s="230"/>
      <c r="K204" s="139"/>
      <c r="M204" s="140"/>
      <c r="N204" s="141"/>
      <c r="O204" s="141"/>
      <c r="P204" s="141"/>
      <c r="Q204" s="141"/>
      <c r="R204" s="140"/>
      <c r="S204" s="169"/>
      <c r="T204" s="416"/>
      <c r="U204" s="444"/>
      <c r="V204" s="78"/>
      <c r="W204" s="78"/>
      <c r="X204" s="78"/>
      <c r="Y204" s="78"/>
      <c r="Z204" s="78"/>
    </row>
    <row r="205" spans="1:26" ht="27.75" customHeight="1" x14ac:dyDescent="0.25">
      <c r="A205" s="70"/>
      <c r="B205" s="80"/>
      <c r="C205" s="95"/>
      <c r="D205" s="105"/>
      <c r="E205" s="105"/>
      <c r="F205" s="95"/>
      <c r="G205" s="79"/>
      <c r="H205" s="79"/>
      <c r="I205" s="345"/>
      <c r="J205" s="230"/>
      <c r="K205" s="139"/>
      <c r="M205" s="140"/>
      <c r="N205" s="141"/>
      <c r="O205" s="141"/>
      <c r="P205" s="141"/>
      <c r="Q205" s="141"/>
      <c r="R205" s="140"/>
      <c r="S205" s="169"/>
      <c r="T205" s="416"/>
      <c r="U205" s="444"/>
      <c r="V205" s="78"/>
      <c r="W205" s="78"/>
      <c r="X205" s="78"/>
      <c r="Y205" s="78"/>
      <c r="Z205" s="78"/>
    </row>
    <row r="206" spans="1:26" ht="27.75" customHeight="1" x14ac:dyDescent="0.25">
      <c r="A206" s="70"/>
      <c r="B206" s="80"/>
      <c r="C206" s="95"/>
      <c r="D206" s="105"/>
      <c r="E206" s="105"/>
      <c r="F206" s="95"/>
      <c r="G206" s="79"/>
      <c r="H206" s="79"/>
      <c r="I206" s="345"/>
      <c r="J206" s="230"/>
      <c r="K206" s="139"/>
      <c r="M206" s="140"/>
      <c r="N206" s="141"/>
      <c r="O206" s="141"/>
      <c r="P206" s="141"/>
      <c r="Q206" s="141"/>
      <c r="R206" s="140"/>
      <c r="S206" s="169"/>
      <c r="T206" s="416"/>
      <c r="U206" s="445"/>
      <c r="V206" s="82"/>
      <c r="W206" s="82"/>
      <c r="X206" s="82"/>
    </row>
    <row r="207" spans="1:26" ht="27.75" customHeight="1" x14ac:dyDescent="0.25">
      <c r="A207" s="70"/>
      <c r="B207" s="80"/>
      <c r="C207" s="95"/>
      <c r="D207" s="105"/>
      <c r="E207" s="105"/>
      <c r="F207" s="95"/>
      <c r="G207" s="79"/>
      <c r="H207" s="79"/>
      <c r="I207" s="345"/>
      <c r="J207" s="230"/>
      <c r="K207" s="139"/>
      <c r="M207" s="140"/>
      <c r="N207" s="141"/>
      <c r="O207" s="141"/>
      <c r="P207" s="141"/>
      <c r="Q207" s="141"/>
      <c r="R207" s="140"/>
      <c r="S207" s="169"/>
      <c r="T207" s="416"/>
      <c r="U207" s="445"/>
      <c r="V207" s="82"/>
      <c r="W207" s="82"/>
      <c r="X207" s="82"/>
    </row>
    <row r="208" spans="1:26" ht="27.75" customHeight="1" x14ac:dyDescent="0.25">
      <c r="A208" s="70"/>
      <c r="B208" s="80"/>
      <c r="C208" s="95"/>
      <c r="D208" s="105"/>
      <c r="E208" s="105"/>
      <c r="F208" s="95"/>
      <c r="G208" s="79"/>
      <c r="H208" s="79"/>
      <c r="I208" s="345"/>
      <c r="J208" s="230"/>
      <c r="K208" s="139"/>
      <c r="M208" s="140"/>
      <c r="N208" s="141"/>
      <c r="O208" s="141"/>
      <c r="P208" s="141"/>
      <c r="Q208" s="141"/>
      <c r="R208" s="140"/>
      <c r="S208" s="169"/>
      <c r="T208" s="416"/>
      <c r="U208" s="445"/>
      <c r="V208" s="82"/>
      <c r="W208" s="82"/>
      <c r="X208" s="82"/>
    </row>
    <row r="209" spans="1:24" ht="27.75" customHeight="1" x14ac:dyDescent="0.25">
      <c r="A209" s="70"/>
      <c r="B209" s="80"/>
      <c r="C209" s="95"/>
      <c r="D209" s="105"/>
      <c r="E209" s="105"/>
      <c r="F209" s="95"/>
      <c r="G209" s="79"/>
      <c r="H209" s="79"/>
      <c r="I209" s="345"/>
      <c r="J209" s="230"/>
      <c r="K209" s="142"/>
      <c r="M209" s="152"/>
      <c r="N209" s="142"/>
      <c r="O209" s="142"/>
      <c r="P209" s="142"/>
      <c r="Q209" s="142"/>
      <c r="R209" s="225"/>
      <c r="S209" s="222"/>
      <c r="T209" s="443"/>
      <c r="U209" s="445"/>
      <c r="V209" s="82"/>
      <c r="W209" s="82"/>
      <c r="X209" s="82"/>
    </row>
    <row r="210" spans="1:24" ht="27.75" customHeight="1" x14ac:dyDescent="0.25">
      <c r="A210" s="70"/>
      <c r="B210" s="80"/>
      <c r="C210" s="248"/>
      <c r="D210" s="105"/>
      <c r="E210" s="105"/>
      <c r="F210" s="122"/>
      <c r="G210" s="79"/>
      <c r="H210" s="79"/>
      <c r="I210" s="345"/>
      <c r="J210" s="230"/>
      <c r="K210" s="142"/>
      <c r="M210" s="152"/>
      <c r="N210" s="142"/>
      <c r="O210" s="142"/>
      <c r="P210" s="142"/>
      <c r="Q210" s="142"/>
      <c r="R210" s="225"/>
      <c r="S210" s="222"/>
      <c r="T210" s="443"/>
      <c r="U210" s="445"/>
    </row>
    <row r="211" spans="1:24" ht="27.75" customHeight="1" x14ac:dyDescent="0.25">
      <c r="A211" s="70"/>
      <c r="B211" s="80"/>
      <c r="C211" s="248"/>
      <c r="D211" s="105"/>
      <c r="E211" s="105"/>
      <c r="F211" s="122"/>
      <c r="G211" s="79"/>
      <c r="H211" s="79"/>
      <c r="I211" s="345"/>
      <c r="J211" s="230"/>
      <c r="K211" s="142"/>
      <c r="M211" s="152"/>
      <c r="N211" s="142"/>
      <c r="O211" s="142"/>
      <c r="P211" s="142"/>
      <c r="Q211" s="142"/>
      <c r="R211" s="225"/>
      <c r="S211" s="222"/>
      <c r="T211" s="443"/>
      <c r="U211" s="445"/>
    </row>
    <row r="212" spans="1:24" ht="27.75" customHeight="1" x14ac:dyDescent="0.25">
      <c r="A212" s="70"/>
      <c r="B212" s="80"/>
      <c r="C212" s="248"/>
      <c r="D212" s="105"/>
      <c r="E212" s="105"/>
      <c r="F212" s="122"/>
      <c r="G212" s="79"/>
      <c r="H212" s="79"/>
      <c r="I212" s="345"/>
      <c r="J212" s="230"/>
      <c r="K212" s="142"/>
      <c r="M212" s="152"/>
      <c r="N212" s="142"/>
      <c r="O212" s="142"/>
      <c r="P212" s="142"/>
      <c r="Q212" s="142"/>
      <c r="R212" s="225"/>
      <c r="S212" s="222"/>
      <c r="T212" s="443"/>
      <c r="U212" s="445"/>
    </row>
    <row r="213" spans="1:24" ht="27.75" customHeight="1" x14ac:dyDescent="0.25">
      <c r="A213" s="70"/>
      <c r="B213" s="80"/>
      <c r="C213" s="248"/>
      <c r="D213" s="105"/>
      <c r="E213" s="105"/>
      <c r="F213" s="122"/>
      <c r="G213" s="79"/>
      <c r="H213" s="79"/>
      <c r="I213" s="345"/>
      <c r="J213" s="230"/>
      <c r="K213" s="142"/>
      <c r="M213" s="152"/>
      <c r="N213" s="142"/>
      <c r="O213" s="142"/>
      <c r="P213" s="142"/>
      <c r="Q213" s="142"/>
      <c r="R213" s="225"/>
      <c r="S213" s="222"/>
      <c r="T213" s="443"/>
      <c r="U213" s="445"/>
    </row>
    <row r="214" spans="1:24" ht="27.75" customHeight="1" x14ac:dyDescent="0.25">
      <c r="A214" s="70"/>
      <c r="B214" s="80"/>
      <c r="C214" s="248"/>
      <c r="D214" s="105"/>
      <c r="E214" s="105"/>
      <c r="F214" s="122"/>
      <c r="G214" s="79"/>
      <c r="H214" s="79"/>
      <c r="I214" s="345"/>
      <c r="J214" s="230"/>
      <c r="K214" s="142"/>
      <c r="M214" s="152"/>
      <c r="N214" s="142"/>
      <c r="O214" s="142"/>
      <c r="P214" s="142"/>
      <c r="Q214" s="142"/>
      <c r="R214" s="225"/>
      <c r="S214" s="222"/>
      <c r="T214" s="443"/>
      <c r="U214" s="445"/>
    </row>
    <row r="215" spans="1:24" ht="27.75" customHeight="1" x14ac:dyDescent="0.25">
      <c r="A215" s="70"/>
      <c r="B215" s="80"/>
      <c r="C215" s="248"/>
      <c r="D215" s="105"/>
      <c r="E215" s="105"/>
      <c r="F215" s="122"/>
      <c r="G215" s="79"/>
      <c r="H215" s="79"/>
      <c r="I215" s="345"/>
      <c r="J215" s="230"/>
      <c r="K215" s="142"/>
      <c r="M215" s="152"/>
      <c r="N215" s="142"/>
      <c r="O215" s="142"/>
      <c r="P215" s="142"/>
      <c r="Q215" s="142"/>
      <c r="R215" s="225"/>
      <c r="S215" s="222"/>
      <c r="T215" s="443"/>
      <c r="U215" s="445"/>
    </row>
    <row r="216" spans="1:24" ht="27.75" customHeight="1" x14ac:dyDescent="0.25">
      <c r="A216" s="70"/>
      <c r="B216" s="80"/>
      <c r="C216" s="248"/>
      <c r="D216" s="105"/>
      <c r="E216" s="105"/>
      <c r="F216" s="122"/>
      <c r="G216" s="79"/>
      <c r="H216" s="79"/>
      <c r="I216" s="345"/>
      <c r="J216" s="230"/>
      <c r="K216" s="142"/>
      <c r="M216" s="152"/>
      <c r="N216" s="142"/>
      <c r="O216" s="142"/>
      <c r="P216" s="142"/>
      <c r="Q216" s="142"/>
      <c r="R216" s="225"/>
      <c r="S216" s="222"/>
      <c r="T216" s="443"/>
      <c r="U216" s="445"/>
    </row>
    <row r="217" spans="1:24" ht="27.75" customHeight="1" x14ac:dyDescent="0.25">
      <c r="A217" s="70"/>
      <c r="B217" s="80"/>
      <c r="C217" s="248"/>
      <c r="D217" s="105"/>
      <c r="E217" s="105"/>
      <c r="F217" s="122"/>
      <c r="G217" s="79"/>
      <c r="H217" s="79"/>
      <c r="I217" s="345"/>
      <c r="J217" s="230"/>
      <c r="K217" s="142"/>
      <c r="M217" s="152"/>
      <c r="N217" s="142"/>
      <c r="O217" s="142"/>
      <c r="P217" s="142"/>
      <c r="Q217" s="142"/>
      <c r="R217" s="225"/>
      <c r="S217" s="222"/>
      <c r="T217" s="443"/>
      <c r="U217" s="445"/>
    </row>
    <row r="218" spans="1:24" ht="27.75" customHeight="1" x14ac:dyDescent="0.25">
      <c r="A218" s="70"/>
      <c r="B218" s="80"/>
      <c r="C218" s="248"/>
      <c r="D218" s="105"/>
      <c r="E218" s="105"/>
      <c r="F218" s="122"/>
      <c r="G218" s="79"/>
      <c r="H218" s="79"/>
      <c r="I218" s="345"/>
      <c r="J218" s="230"/>
      <c r="K218" s="142"/>
      <c r="M218" s="152"/>
      <c r="N218" s="142"/>
      <c r="O218" s="142"/>
      <c r="P218" s="142"/>
      <c r="Q218" s="142"/>
      <c r="R218" s="225"/>
      <c r="S218" s="222"/>
      <c r="T218" s="443"/>
      <c r="U218" s="445"/>
    </row>
    <row r="219" spans="1:24" ht="27.75" customHeight="1" x14ac:dyDescent="0.25">
      <c r="A219" s="70"/>
      <c r="B219" s="80"/>
      <c r="C219" s="248"/>
      <c r="D219" s="105"/>
      <c r="E219" s="105"/>
      <c r="F219" s="122"/>
      <c r="G219" s="79"/>
      <c r="H219" s="79"/>
      <c r="I219" s="345"/>
      <c r="J219" s="230"/>
      <c r="K219" s="142"/>
      <c r="M219" s="152"/>
      <c r="N219" s="142"/>
      <c r="O219" s="142"/>
      <c r="P219" s="142"/>
      <c r="Q219" s="142"/>
      <c r="R219" s="225"/>
      <c r="S219" s="222"/>
      <c r="T219" s="443"/>
      <c r="U219" s="445"/>
    </row>
    <row r="220" spans="1:24" ht="27.75" customHeight="1" x14ac:dyDescent="0.25">
      <c r="A220" s="70"/>
      <c r="B220" s="80"/>
      <c r="C220" s="248"/>
      <c r="D220" s="105"/>
      <c r="E220" s="105"/>
      <c r="F220" s="122"/>
      <c r="G220" s="79"/>
      <c r="H220" s="79"/>
      <c r="I220" s="345"/>
      <c r="J220" s="230"/>
      <c r="K220" s="142"/>
      <c r="M220" s="152"/>
      <c r="N220" s="142"/>
      <c r="O220" s="142"/>
      <c r="P220" s="142"/>
      <c r="Q220" s="142"/>
      <c r="R220" s="225"/>
      <c r="S220" s="222"/>
      <c r="T220" s="443"/>
      <c r="U220" s="445"/>
    </row>
    <row r="221" spans="1:24" ht="27.75" customHeight="1" x14ac:dyDescent="0.25">
      <c r="A221" s="70"/>
      <c r="B221" s="80"/>
      <c r="C221" s="248"/>
      <c r="D221" s="105"/>
      <c r="E221" s="105"/>
      <c r="F221" s="122"/>
      <c r="G221" s="79"/>
      <c r="H221" s="79"/>
      <c r="I221" s="345"/>
      <c r="J221" s="230"/>
      <c r="K221" s="142"/>
      <c r="M221" s="152"/>
      <c r="N221" s="142"/>
      <c r="O221" s="142"/>
      <c r="P221" s="142"/>
      <c r="Q221" s="142"/>
      <c r="R221" s="225"/>
      <c r="S221" s="222"/>
      <c r="T221" s="443"/>
      <c r="U221" s="445"/>
    </row>
    <row r="222" spans="1:24" ht="27.75" customHeight="1" x14ac:dyDescent="0.25">
      <c r="A222" s="70"/>
      <c r="B222" s="80"/>
      <c r="C222" s="248"/>
      <c r="D222" s="105"/>
      <c r="E222" s="105"/>
      <c r="F222" s="122"/>
      <c r="G222" s="79"/>
      <c r="H222" s="79"/>
      <c r="I222" s="345"/>
      <c r="J222" s="230"/>
      <c r="K222" s="142"/>
      <c r="M222" s="152"/>
      <c r="N222" s="142"/>
      <c r="O222" s="142"/>
      <c r="P222" s="142"/>
      <c r="Q222" s="142"/>
      <c r="R222" s="225"/>
      <c r="S222" s="222"/>
      <c r="T222" s="443"/>
      <c r="U222" s="445"/>
    </row>
    <row r="223" spans="1:24" ht="27.75" customHeight="1" x14ac:dyDescent="0.25">
      <c r="A223" s="70"/>
      <c r="B223" s="80"/>
      <c r="C223" s="248"/>
      <c r="D223" s="105"/>
      <c r="E223" s="105"/>
      <c r="F223" s="122"/>
      <c r="G223" s="79"/>
      <c r="H223" s="79"/>
      <c r="I223" s="345"/>
      <c r="J223" s="230"/>
      <c r="K223" s="142"/>
      <c r="M223" s="152"/>
      <c r="N223" s="142"/>
      <c r="O223" s="142"/>
      <c r="P223" s="142"/>
      <c r="Q223" s="142"/>
      <c r="R223" s="225"/>
      <c r="S223" s="222"/>
      <c r="T223" s="443"/>
    </row>
    <row r="224" spans="1:24" ht="27.75" customHeight="1" x14ac:dyDescent="0.25">
      <c r="A224" s="70"/>
      <c r="B224" s="80"/>
      <c r="C224" s="248"/>
      <c r="D224" s="105"/>
      <c r="E224" s="105"/>
      <c r="F224" s="122"/>
      <c r="G224" s="79"/>
      <c r="H224" s="79"/>
      <c r="I224" s="345"/>
      <c r="J224" s="230"/>
      <c r="K224" s="142"/>
      <c r="M224" s="152"/>
      <c r="N224" s="142"/>
      <c r="O224" s="142"/>
      <c r="P224" s="142"/>
      <c r="Q224" s="142"/>
      <c r="R224" s="225"/>
      <c r="S224" s="222"/>
      <c r="T224" s="443"/>
    </row>
    <row r="225" spans="1:20" ht="27.75" customHeight="1" x14ac:dyDescent="0.25">
      <c r="A225" s="70"/>
      <c r="B225" s="80"/>
      <c r="C225" s="248"/>
      <c r="D225" s="105"/>
      <c r="E225" s="105"/>
      <c r="F225" s="122"/>
      <c r="G225" s="79"/>
      <c r="H225" s="79"/>
      <c r="I225" s="345"/>
      <c r="J225" s="230"/>
      <c r="K225" s="142"/>
      <c r="M225" s="152"/>
      <c r="N225" s="142"/>
      <c r="O225" s="142"/>
      <c r="P225" s="142"/>
      <c r="Q225" s="142"/>
      <c r="R225" s="225"/>
      <c r="S225" s="222"/>
      <c r="T225" s="443"/>
    </row>
    <row r="226" spans="1:20" ht="27.75" customHeight="1" x14ac:dyDescent="0.25">
      <c r="A226" s="70"/>
      <c r="B226" s="80"/>
      <c r="C226" s="248"/>
      <c r="D226" s="105"/>
      <c r="E226" s="105"/>
      <c r="F226" s="122"/>
      <c r="G226" s="79"/>
      <c r="H226" s="79"/>
      <c r="I226" s="344"/>
      <c r="J226" s="230"/>
      <c r="K226" s="110"/>
      <c r="M226" s="131"/>
      <c r="N226" s="124"/>
      <c r="O226" s="124"/>
      <c r="P226" s="124"/>
      <c r="Q226" s="124"/>
      <c r="R226" s="131"/>
      <c r="S226" s="170"/>
      <c r="T226" s="416"/>
    </row>
    <row r="227" spans="1:20" ht="27.75" customHeight="1" x14ac:dyDescent="0.25">
      <c r="A227" s="70"/>
      <c r="B227" s="80"/>
      <c r="C227" s="248"/>
      <c r="D227" s="105"/>
      <c r="E227" s="105"/>
      <c r="F227" s="122"/>
      <c r="G227" s="79"/>
      <c r="H227" s="81"/>
      <c r="I227" s="344"/>
      <c r="J227" s="230"/>
      <c r="K227" s="110"/>
      <c r="M227" s="131"/>
      <c r="N227" s="124"/>
      <c r="O227" s="124"/>
      <c r="P227" s="124"/>
      <c r="Q227" s="124"/>
      <c r="R227" s="131"/>
      <c r="S227" s="170"/>
      <c r="T227" s="416"/>
    </row>
    <row r="228" spans="1:20" ht="27.75" customHeight="1" x14ac:dyDescent="0.25">
      <c r="A228" s="70"/>
      <c r="B228" s="80"/>
      <c r="C228" s="248"/>
      <c r="D228" s="105"/>
      <c r="E228" s="105"/>
      <c r="F228" s="122"/>
      <c r="G228" s="79"/>
      <c r="H228" s="81"/>
      <c r="I228" s="344"/>
      <c r="J228" s="230"/>
      <c r="K228" s="110"/>
      <c r="M228" s="131"/>
      <c r="N228" s="124"/>
      <c r="O228" s="124"/>
      <c r="P228" s="124"/>
      <c r="Q228" s="124"/>
      <c r="R228" s="131"/>
      <c r="S228" s="170"/>
      <c r="T228" s="416"/>
    </row>
    <row r="229" spans="1:20" ht="27.75" customHeight="1" x14ac:dyDescent="0.25">
      <c r="A229" s="70"/>
      <c r="B229" s="80"/>
      <c r="C229" s="248"/>
      <c r="D229" s="105"/>
      <c r="E229" s="105"/>
      <c r="F229" s="122"/>
      <c r="G229" s="79"/>
      <c r="H229" s="81"/>
      <c r="I229" s="344"/>
      <c r="J229" s="230"/>
      <c r="K229" s="110"/>
      <c r="M229" s="131"/>
      <c r="N229" s="124"/>
      <c r="O229" s="124"/>
      <c r="P229" s="124"/>
      <c r="Q229" s="124"/>
      <c r="R229" s="131"/>
      <c r="S229" s="170"/>
      <c r="T229" s="416"/>
    </row>
    <row r="230" spans="1:20" ht="27.75" customHeight="1" x14ac:dyDescent="0.25">
      <c r="A230" s="70"/>
      <c r="B230" s="80"/>
      <c r="C230" s="248"/>
      <c r="D230" s="105"/>
      <c r="E230" s="105"/>
      <c r="F230" s="122"/>
      <c r="G230" s="79"/>
      <c r="H230" s="81"/>
      <c r="I230" s="344"/>
      <c r="J230" s="230"/>
      <c r="K230" s="110"/>
      <c r="M230" s="131"/>
      <c r="N230" s="124"/>
      <c r="O230" s="124"/>
      <c r="P230" s="124"/>
      <c r="Q230" s="124"/>
      <c r="R230" s="131"/>
      <c r="S230" s="170"/>
      <c r="T230" s="416"/>
    </row>
    <row r="231" spans="1:20" ht="27.75" customHeight="1" x14ac:dyDescent="0.25">
      <c r="A231" s="70"/>
      <c r="B231" s="80"/>
      <c r="C231" s="248"/>
      <c r="D231" s="105"/>
      <c r="E231" s="105"/>
      <c r="F231" s="122"/>
      <c r="G231" s="79"/>
      <c r="H231" s="81"/>
      <c r="I231" s="344"/>
      <c r="J231" s="230"/>
      <c r="K231" s="110"/>
      <c r="M231" s="131"/>
      <c r="N231" s="124"/>
      <c r="O231" s="124"/>
      <c r="P231" s="124"/>
      <c r="Q231" s="124"/>
      <c r="R231" s="131"/>
      <c r="S231" s="170"/>
      <c r="T231" s="416"/>
    </row>
    <row r="232" spans="1:20" ht="27.75" customHeight="1" x14ac:dyDescent="0.25">
      <c r="A232" s="70"/>
      <c r="B232" s="80"/>
      <c r="C232" s="248"/>
      <c r="D232" s="105"/>
      <c r="E232" s="105"/>
      <c r="F232" s="122"/>
      <c r="G232" s="79"/>
      <c r="H232" s="81"/>
      <c r="I232" s="344"/>
      <c r="J232" s="230"/>
      <c r="K232" s="110"/>
      <c r="M232" s="131"/>
      <c r="N232" s="124"/>
      <c r="O232" s="124"/>
      <c r="P232" s="124"/>
      <c r="Q232" s="124"/>
      <c r="R232" s="131"/>
      <c r="S232" s="170"/>
      <c r="T232" s="416"/>
    </row>
    <row r="233" spans="1:20" ht="27.75" customHeight="1" x14ac:dyDescent="0.25">
      <c r="A233" s="70"/>
      <c r="B233" s="80"/>
      <c r="C233" s="248"/>
      <c r="D233" s="105"/>
      <c r="E233" s="105"/>
      <c r="F233" s="122"/>
      <c r="G233" s="79"/>
      <c r="H233" s="81"/>
      <c r="I233" s="344"/>
      <c r="J233" s="230"/>
      <c r="K233" s="110"/>
      <c r="M233" s="131"/>
      <c r="N233" s="124"/>
      <c r="O233" s="124"/>
      <c r="P233" s="124"/>
      <c r="Q233" s="124"/>
      <c r="R233" s="131"/>
      <c r="S233" s="170"/>
      <c r="T233" s="416"/>
    </row>
    <row r="234" spans="1:20" ht="27.75" customHeight="1" x14ac:dyDescent="0.25">
      <c r="A234" s="70"/>
      <c r="B234" s="80"/>
      <c r="C234" s="248"/>
      <c r="D234" s="105"/>
      <c r="E234" s="105"/>
      <c r="F234" s="122"/>
      <c r="G234" s="79"/>
      <c r="H234" s="81"/>
      <c r="I234" s="344"/>
      <c r="J234" s="230"/>
      <c r="K234" s="110"/>
      <c r="M234" s="131"/>
      <c r="N234" s="124"/>
      <c r="O234" s="124"/>
      <c r="P234" s="124"/>
      <c r="Q234" s="124"/>
      <c r="R234" s="131"/>
      <c r="S234" s="170"/>
      <c r="T234" s="416"/>
    </row>
    <row r="235" spans="1:20" ht="27.75" customHeight="1" x14ac:dyDescent="0.25">
      <c r="A235" s="70"/>
      <c r="B235" s="80"/>
      <c r="C235" s="248"/>
      <c r="D235" s="105"/>
      <c r="E235" s="105"/>
      <c r="F235" s="122"/>
      <c r="G235" s="79"/>
      <c r="H235" s="81"/>
      <c r="I235" s="344"/>
      <c r="J235" s="230"/>
      <c r="K235" s="110"/>
      <c r="M235" s="131"/>
      <c r="N235" s="124"/>
      <c r="O235" s="124"/>
      <c r="P235" s="124"/>
      <c r="Q235" s="124"/>
      <c r="R235" s="131"/>
      <c r="S235" s="170"/>
      <c r="T235" s="416"/>
    </row>
    <row r="236" spans="1:20" ht="27.75" customHeight="1" x14ac:dyDescent="0.25">
      <c r="A236" s="70"/>
      <c r="B236" s="80"/>
      <c r="C236" s="248"/>
      <c r="D236" s="105"/>
      <c r="E236" s="105"/>
      <c r="F236" s="122"/>
      <c r="G236" s="79"/>
      <c r="H236" s="81"/>
      <c r="I236" s="344"/>
      <c r="J236" s="230"/>
      <c r="K236" s="110"/>
      <c r="M236" s="131"/>
      <c r="N236" s="124"/>
      <c r="O236" s="124"/>
      <c r="P236" s="124"/>
      <c r="Q236" s="124"/>
      <c r="R236" s="131"/>
      <c r="S236" s="170"/>
      <c r="T236" s="416"/>
    </row>
    <row r="237" spans="1:20" ht="27.75" customHeight="1" x14ac:dyDescent="0.25">
      <c r="A237" s="70"/>
      <c r="B237" s="80"/>
      <c r="C237" s="248"/>
      <c r="D237" s="105"/>
      <c r="E237" s="105"/>
      <c r="F237" s="251"/>
      <c r="G237" s="83"/>
      <c r="H237" s="81"/>
      <c r="I237" s="344"/>
      <c r="J237" s="230"/>
      <c r="K237" s="110"/>
      <c r="M237" s="131"/>
      <c r="N237" s="124"/>
      <c r="O237" s="124"/>
      <c r="P237" s="124"/>
      <c r="Q237" s="124"/>
      <c r="R237" s="131"/>
      <c r="S237" s="170"/>
      <c r="T237" s="416"/>
    </row>
    <row r="238" spans="1:20" ht="27.75" customHeight="1" x14ac:dyDescent="0.25">
      <c r="A238" s="70"/>
      <c r="B238" s="80"/>
      <c r="C238" s="248"/>
      <c r="D238" s="105"/>
      <c r="E238" s="105"/>
      <c r="F238" s="251"/>
      <c r="G238" s="83"/>
      <c r="H238" s="81"/>
      <c r="I238" s="344"/>
      <c r="J238" s="230"/>
      <c r="K238" s="110"/>
      <c r="M238" s="131"/>
      <c r="N238" s="124"/>
      <c r="O238" s="124"/>
      <c r="P238" s="124"/>
      <c r="Q238" s="124"/>
      <c r="R238" s="131"/>
      <c r="S238" s="170"/>
      <c r="T238" s="416"/>
    </row>
    <row r="239" spans="1:20" ht="27.75" customHeight="1" x14ac:dyDescent="0.25">
      <c r="A239" s="70"/>
      <c r="B239" s="80"/>
      <c r="C239" s="248"/>
      <c r="D239" s="105"/>
      <c r="E239" s="105"/>
      <c r="F239" s="251"/>
      <c r="G239" s="83"/>
      <c r="H239" s="81"/>
      <c r="I239" s="344"/>
      <c r="J239" s="230"/>
      <c r="K239" s="110"/>
      <c r="M239" s="131"/>
      <c r="N239" s="124"/>
      <c r="O239" s="124"/>
      <c r="P239" s="124"/>
      <c r="Q239" s="124"/>
      <c r="R239" s="131"/>
      <c r="S239" s="170"/>
      <c r="T239" s="416"/>
    </row>
    <row r="240" spans="1:20" ht="27.75" customHeight="1" x14ac:dyDescent="0.25">
      <c r="A240" s="70"/>
      <c r="B240" s="80"/>
      <c r="C240" s="248"/>
      <c r="D240" s="105"/>
      <c r="E240" s="105"/>
      <c r="F240" s="251"/>
      <c r="G240" s="83"/>
      <c r="H240" s="81"/>
      <c r="I240" s="344"/>
      <c r="J240" s="230"/>
      <c r="K240" s="110"/>
      <c r="M240" s="131"/>
      <c r="N240" s="124"/>
      <c r="O240" s="124"/>
      <c r="P240" s="124"/>
      <c r="Q240" s="124"/>
      <c r="R240" s="131"/>
      <c r="S240" s="170"/>
      <c r="T240" s="416"/>
    </row>
    <row r="241" spans="1:20" ht="27.75" customHeight="1" x14ac:dyDescent="0.25">
      <c r="A241" s="70"/>
      <c r="B241" s="80"/>
      <c r="C241" s="248"/>
      <c r="D241" s="105"/>
      <c r="E241" s="105"/>
      <c r="F241" s="251"/>
      <c r="G241" s="83"/>
      <c r="H241" s="81"/>
      <c r="I241" s="344"/>
      <c r="J241" s="230"/>
      <c r="K241" s="110"/>
      <c r="M241" s="131"/>
      <c r="N241" s="124"/>
      <c r="O241" s="124"/>
      <c r="P241" s="124"/>
      <c r="Q241" s="124"/>
      <c r="R241" s="131"/>
      <c r="S241" s="170"/>
      <c r="T241" s="416"/>
    </row>
    <row r="242" spans="1:20" ht="27.75" customHeight="1" x14ac:dyDescent="0.25">
      <c r="A242" s="70"/>
      <c r="B242" s="80"/>
      <c r="C242" s="248"/>
      <c r="D242" s="105"/>
      <c r="E242" s="105"/>
      <c r="F242" s="251"/>
      <c r="G242" s="83"/>
      <c r="H242" s="81"/>
      <c r="I242" s="344"/>
      <c r="J242" s="230"/>
      <c r="K242" s="110"/>
      <c r="M242" s="131"/>
      <c r="N242" s="124"/>
      <c r="O242" s="124"/>
      <c r="P242" s="124"/>
      <c r="Q242" s="124"/>
      <c r="R242" s="131"/>
      <c r="S242" s="170"/>
      <c r="T242" s="416"/>
    </row>
    <row r="243" spans="1:20" ht="27.75" customHeight="1" x14ac:dyDescent="0.25">
      <c r="A243" s="70"/>
      <c r="B243" s="80"/>
      <c r="C243" s="248"/>
      <c r="D243" s="105"/>
      <c r="E243" s="105"/>
      <c r="F243" s="251"/>
      <c r="G243" s="83"/>
      <c r="H243" s="81"/>
      <c r="I243" s="344"/>
      <c r="J243" s="230"/>
      <c r="K243" s="110"/>
      <c r="M243" s="131"/>
      <c r="N243" s="124"/>
      <c r="O243" s="124"/>
      <c r="P243" s="124"/>
      <c r="Q243" s="124"/>
      <c r="R243" s="131"/>
      <c r="S243" s="170"/>
      <c r="T243" s="416"/>
    </row>
    <row r="244" spans="1:20" ht="27.75" customHeight="1" x14ac:dyDescent="0.25">
      <c r="A244" s="70"/>
      <c r="B244" s="50"/>
      <c r="C244" s="249"/>
      <c r="D244" s="105"/>
      <c r="E244" s="105"/>
      <c r="F244" s="252"/>
      <c r="G244" s="84"/>
      <c r="H244" s="85"/>
      <c r="I244" s="346"/>
      <c r="J244" s="230"/>
      <c r="K244" s="111"/>
      <c r="M244" s="130"/>
      <c r="N244" s="123"/>
      <c r="O244" s="123"/>
      <c r="P244" s="123"/>
      <c r="Q244" s="123"/>
      <c r="R244" s="130"/>
      <c r="S244" s="171"/>
    </row>
    <row r="245" spans="1:20" ht="27.75" customHeight="1" x14ac:dyDescent="0.25">
      <c r="A245" s="70"/>
      <c r="B245" s="50"/>
      <c r="C245" s="249"/>
      <c r="D245" s="105"/>
      <c r="E245" s="105"/>
      <c r="F245" s="252"/>
      <c r="G245" s="84"/>
      <c r="H245" s="85"/>
      <c r="I245" s="346"/>
      <c r="J245" s="230"/>
      <c r="K245" s="111"/>
      <c r="M245" s="130"/>
      <c r="N245" s="123"/>
      <c r="O245" s="123"/>
      <c r="P245" s="123"/>
      <c r="Q245" s="123"/>
      <c r="R245" s="130"/>
      <c r="S245" s="171"/>
    </row>
    <row r="246" spans="1:20" ht="27.75" customHeight="1" x14ac:dyDescent="0.25">
      <c r="A246" s="70"/>
      <c r="B246" s="50"/>
      <c r="C246" s="249"/>
      <c r="D246" s="105"/>
      <c r="E246" s="105"/>
      <c r="F246" s="252"/>
      <c r="G246" s="84"/>
      <c r="H246" s="85"/>
      <c r="I246" s="346"/>
      <c r="J246" s="230"/>
      <c r="K246" s="111"/>
      <c r="M246" s="130"/>
      <c r="N246" s="123"/>
      <c r="O246" s="123"/>
      <c r="P246" s="123"/>
      <c r="Q246" s="123"/>
      <c r="R246" s="130"/>
      <c r="S246" s="171"/>
    </row>
    <row r="247" spans="1:20" ht="27.75" customHeight="1" x14ac:dyDescent="0.25">
      <c r="A247" s="70"/>
      <c r="B247" s="50"/>
      <c r="C247" s="249"/>
      <c r="D247" s="105"/>
      <c r="E247" s="105"/>
      <c r="F247" s="252"/>
      <c r="G247" s="84"/>
      <c r="H247" s="85"/>
      <c r="I247" s="346"/>
      <c r="J247" s="230"/>
      <c r="K247" s="111"/>
      <c r="M247" s="130"/>
      <c r="N247" s="123"/>
      <c r="O247" s="123"/>
      <c r="P247" s="123"/>
      <c r="Q247" s="123"/>
      <c r="R247" s="130"/>
      <c r="S247" s="171"/>
    </row>
    <row r="248" spans="1:20" ht="27.75" customHeight="1" x14ac:dyDescent="0.25">
      <c r="A248" s="70"/>
      <c r="B248" s="50"/>
      <c r="C248" s="249"/>
      <c r="D248" s="105"/>
      <c r="E248" s="105"/>
      <c r="F248" s="252"/>
      <c r="G248" s="84"/>
      <c r="H248" s="85"/>
      <c r="I248" s="346"/>
      <c r="J248" s="230"/>
      <c r="K248" s="111"/>
      <c r="M248" s="130"/>
      <c r="N248" s="123"/>
      <c r="O248" s="123"/>
      <c r="P248" s="123"/>
      <c r="Q248" s="123"/>
      <c r="R248" s="130"/>
      <c r="S248" s="171"/>
    </row>
    <row r="249" spans="1:20" ht="27.75" customHeight="1" x14ac:dyDescent="0.25">
      <c r="A249" s="70"/>
      <c r="B249" s="50"/>
      <c r="C249" s="249"/>
      <c r="D249" s="105"/>
      <c r="E249" s="105"/>
      <c r="F249" s="252"/>
      <c r="G249" s="84"/>
      <c r="H249" s="85"/>
      <c r="I249" s="346"/>
      <c r="J249" s="230"/>
      <c r="K249" s="111"/>
      <c r="M249" s="130"/>
      <c r="N249" s="123"/>
      <c r="O249" s="123"/>
      <c r="P249" s="123"/>
      <c r="Q249" s="123"/>
      <c r="R249" s="130"/>
      <c r="S249" s="171"/>
    </row>
    <row r="250" spans="1:20" ht="27.75" customHeight="1" x14ac:dyDescent="0.25">
      <c r="A250" s="70"/>
      <c r="B250" s="50"/>
      <c r="C250" s="249"/>
      <c r="D250" s="105"/>
      <c r="E250" s="105"/>
      <c r="F250" s="252"/>
      <c r="G250" s="84"/>
      <c r="H250" s="85"/>
      <c r="I250" s="346"/>
      <c r="J250" s="230"/>
      <c r="K250" s="111"/>
      <c r="M250" s="130"/>
      <c r="N250" s="123"/>
      <c r="O250" s="123"/>
      <c r="P250" s="123"/>
      <c r="Q250" s="123"/>
      <c r="R250" s="130"/>
      <c r="S250" s="171"/>
    </row>
    <row r="251" spans="1:20" ht="27.75" customHeight="1" x14ac:dyDescent="0.25">
      <c r="A251" s="70"/>
      <c r="B251" s="50"/>
      <c r="C251" s="249"/>
      <c r="D251" s="105"/>
      <c r="E251" s="105"/>
      <c r="F251" s="252"/>
      <c r="G251" s="84"/>
      <c r="H251" s="85"/>
      <c r="I251" s="346"/>
      <c r="J251" s="230"/>
      <c r="K251" s="111"/>
      <c r="M251" s="130"/>
      <c r="N251" s="123"/>
      <c r="O251" s="123"/>
      <c r="P251" s="123"/>
      <c r="Q251" s="123"/>
      <c r="R251" s="130"/>
      <c r="S251" s="171"/>
    </row>
    <row r="252" spans="1:20" ht="27.75" customHeight="1" x14ac:dyDescent="0.25">
      <c r="A252" s="70"/>
      <c r="B252" s="50"/>
      <c r="C252" s="249"/>
      <c r="D252" s="105"/>
      <c r="E252" s="105"/>
      <c r="F252" s="252"/>
      <c r="G252" s="84"/>
      <c r="H252" s="85"/>
      <c r="I252" s="346"/>
      <c r="J252" s="230"/>
      <c r="K252" s="111"/>
      <c r="M252" s="130"/>
      <c r="N252" s="123"/>
      <c r="O252" s="123"/>
      <c r="P252" s="123"/>
      <c r="Q252" s="123"/>
      <c r="R252" s="130"/>
      <c r="S252" s="171"/>
    </row>
    <row r="253" spans="1:20" ht="27.75" customHeight="1" x14ac:dyDescent="0.25">
      <c r="A253" s="70"/>
      <c r="B253" s="50"/>
      <c r="C253" s="249"/>
      <c r="D253" s="105"/>
      <c r="E253" s="105"/>
      <c r="F253" s="252"/>
      <c r="G253" s="84"/>
      <c r="H253" s="85"/>
      <c r="I253" s="346"/>
      <c r="J253" s="230"/>
      <c r="K253" s="111"/>
      <c r="M253" s="130"/>
      <c r="N253" s="123"/>
      <c r="O253" s="123"/>
      <c r="P253" s="123"/>
      <c r="Q253" s="123"/>
      <c r="R253" s="130"/>
      <c r="S253" s="171"/>
    </row>
    <row r="254" spans="1:20" ht="27.75" customHeight="1" x14ac:dyDescent="0.25">
      <c r="A254" s="70"/>
      <c r="B254" s="50"/>
      <c r="C254" s="249"/>
      <c r="D254" s="105"/>
      <c r="E254" s="105"/>
      <c r="F254" s="252"/>
      <c r="G254" s="84"/>
      <c r="H254" s="85"/>
      <c r="I254" s="346"/>
      <c r="J254" s="230"/>
      <c r="K254" s="111"/>
      <c r="M254" s="130"/>
      <c r="N254" s="123"/>
      <c r="O254" s="123"/>
      <c r="P254" s="123"/>
      <c r="Q254" s="123"/>
      <c r="R254" s="130"/>
      <c r="S254" s="171"/>
    </row>
    <row r="255" spans="1:20" ht="27.75" customHeight="1" x14ac:dyDescent="0.25">
      <c r="A255" s="70"/>
      <c r="B255" s="50"/>
      <c r="C255" s="249"/>
      <c r="D255" s="105"/>
      <c r="E255" s="105"/>
      <c r="F255" s="252"/>
      <c r="G255" s="84"/>
      <c r="H255" s="85"/>
      <c r="I255" s="346"/>
      <c r="J255" s="230"/>
      <c r="K255" s="111"/>
      <c r="M255" s="130"/>
      <c r="N255" s="123"/>
      <c r="O255" s="123"/>
      <c r="P255" s="123"/>
      <c r="Q255" s="123"/>
      <c r="R255" s="130"/>
      <c r="S255" s="171"/>
    </row>
    <row r="256" spans="1:20" ht="27.75" customHeight="1" x14ac:dyDescent="0.25">
      <c r="A256" s="70"/>
      <c r="B256" s="50"/>
      <c r="C256" s="249"/>
      <c r="D256" s="105"/>
      <c r="E256" s="105"/>
      <c r="F256" s="252"/>
      <c r="G256" s="84"/>
      <c r="H256" s="85"/>
      <c r="I256" s="346"/>
      <c r="J256" s="230"/>
      <c r="K256" s="111"/>
      <c r="M256" s="130"/>
      <c r="N256" s="123"/>
      <c r="O256" s="123"/>
      <c r="P256" s="123"/>
      <c r="Q256" s="123"/>
      <c r="R256" s="130"/>
      <c r="S256" s="171"/>
    </row>
    <row r="257" spans="1:19" ht="27.75" customHeight="1" x14ac:dyDescent="0.25">
      <c r="A257" s="70"/>
      <c r="B257" s="50"/>
      <c r="C257" s="249"/>
      <c r="D257" s="105"/>
      <c r="E257" s="105"/>
      <c r="F257" s="252"/>
      <c r="G257" s="84"/>
      <c r="H257" s="85"/>
      <c r="I257" s="346"/>
      <c r="J257" s="230"/>
      <c r="K257" s="111"/>
      <c r="M257" s="130"/>
      <c r="N257" s="123"/>
      <c r="O257" s="123"/>
      <c r="P257" s="123"/>
      <c r="Q257" s="123"/>
      <c r="R257" s="130"/>
      <c r="S257" s="171"/>
    </row>
    <row r="258" spans="1:19" ht="27.75" customHeight="1" x14ac:dyDescent="0.25">
      <c r="A258" s="70"/>
      <c r="B258" s="50"/>
      <c r="C258" s="249"/>
      <c r="D258" s="105"/>
      <c r="E258" s="105"/>
      <c r="F258" s="252"/>
      <c r="G258" s="84"/>
      <c r="H258" s="85"/>
      <c r="I258" s="346"/>
      <c r="J258" s="230"/>
      <c r="K258" s="111"/>
      <c r="M258" s="130"/>
      <c r="N258" s="123"/>
      <c r="O258" s="123"/>
      <c r="P258" s="123"/>
      <c r="Q258" s="123"/>
      <c r="R258" s="130"/>
      <c r="S258" s="171"/>
    </row>
    <row r="259" spans="1:19" ht="27.75" customHeight="1" x14ac:dyDescent="0.25">
      <c r="A259" s="70"/>
      <c r="B259" s="50"/>
      <c r="C259" s="249"/>
      <c r="D259" s="105"/>
      <c r="E259" s="105"/>
      <c r="F259" s="252"/>
      <c r="G259" s="84"/>
      <c r="H259" s="85"/>
      <c r="I259" s="346"/>
      <c r="J259" s="230"/>
      <c r="K259" s="111"/>
      <c r="M259" s="130"/>
      <c r="N259" s="123"/>
      <c r="O259" s="123"/>
      <c r="P259" s="123"/>
      <c r="Q259" s="123"/>
      <c r="R259" s="130"/>
      <c r="S259" s="171"/>
    </row>
    <row r="260" spans="1:19" ht="27.75" customHeight="1" x14ac:dyDescent="0.25">
      <c r="A260" s="70"/>
      <c r="B260" s="50"/>
      <c r="C260" s="249"/>
      <c r="D260" s="105"/>
      <c r="E260" s="105"/>
      <c r="F260" s="252"/>
      <c r="G260" s="84"/>
      <c r="H260" s="85"/>
      <c r="I260" s="346"/>
      <c r="J260" s="230"/>
      <c r="K260" s="111"/>
      <c r="M260" s="130"/>
      <c r="N260" s="123"/>
      <c r="O260" s="123"/>
      <c r="P260" s="123"/>
      <c r="Q260" s="123"/>
      <c r="R260" s="130"/>
      <c r="S260" s="171"/>
    </row>
    <row r="261" spans="1:19" ht="27.75" customHeight="1" x14ac:dyDescent="0.25">
      <c r="A261" s="70"/>
      <c r="B261" s="50"/>
      <c r="C261" s="249"/>
      <c r="D261" s="105"/>
      <c r="E261" s="105"/>
      <c r="F261" s="252"/>
      <c r="G261" s="84"/>
      <c r="H261" s="85"/>
      <c r="I261" s="346"/>
      <c r="J261" s="230"/>
      <c r="K261" s="111"/>
      <c r="M261" s="130"/>
      <c r="N261" s="123"/>
      <c r="O261" s="123"/>
      <c r="P261" s="123"/>
      <c r="Q261" s="123"/>
      <c r="R261" s="130"/>
      <c r="S261" s="171"/>
    </row>
    <row r="262" spans="1:19" ht="27.75" customHeight="1" x14ac:dyDescent="0.25">
      <c r="A262" s="70"/>
      <c r="B262" s="50"/>
      <c r="C262" s="249"/>
      <c r="D262" s="105"/>
      <c r="E262" s="105"/>
      <c r="F262" s="252"/>
      <c r="G262" s="84"/>
      <c r="H262" s="85"/>
      <c r="I262" s="346"/>
      <c r="J262" s="230"/>
      <c r="K262" s="111"/>
      <c r="M262" s="130"/>
      <c r="N262" s="123"/>
      <c r="O262" s="123"/>
      <c r="P262" s="123"/>
      <c r="Q262" s="123"/>
      <c r="R262" s="130"/>
      <c r="S262" s="171"/>
    </row>
    <row r="263" spans="1:19" ht="27.75" customHeight="1" x14ac:dyDescent="0.25">
      <c r="A263" s="70"/>
      <c r="B263" s="50"/>
      <c r="C263" s="249"/>
      <c r="D263" s="105"/>
      <c r="E263" s="105"/>
      <c r="F263" s="252"/>
      <c r="G263" s="84"/>
      <c r="H263" s="85"/>
      <c r="I263" s="346"/>
      <c r="J263" s="230"/>
      <c r="K263" s="111"/>
      <c r="M263" s="130"/>
      <c r="N263" s="123"/>
      <c r="O263" s="123"/>
      <c r="P263" s="123"/>
      <c r="Q263" s="123"/>
      <c r="R263" s="130"/>
      <c r="S263" s="171"/>
    </row>
    <row r="264" spans="1:19" ht="27.75" customHeight="1" x14ac:dyDescent="0.25">
      <c r="A264" s="70"/>
      <c r="B264" s="50"/>
      <c r="C264" s="249"/>
      <c r="D264" s="105"/>
      <c r="E264" s="105"/>
      <c r="F264" s="252"/>
      <c r="G264" s="84"/>
      <c r="H264" s="85"/>
      <c r="I264" s="346"/>
      <c r="J264" s="230"/>
      <c r="K264" s="111"/>
      <c r="M264" s="130"/>
      <c r="N264" s="123"/>
      <c r="O264" s="123"/>
      <c r="P264" s="123"/>
      <c r="Q264" s="123"/>
      <c r="R264" s="130"/>
      <c r="S264" s="171"/>
    </row>
    <row r="265" spans="1:19" ht="27.75" customHeight="1" x14ac:dyDescent="0.25">
      <c r="A265" s="70"/>
      <c r="B265" s="50"/>
      <c r="C265" s="249"/>
      <c r="D265" s="105"/>
      <c r="E265" s="105"/>
      <c r="F265" s="252"/>
      <c r="G265" s="84"/>
      <c r="H265" s="85"/>
      <c r="I265" s="346"/>
      <c r="J265" s="230"/>
      <c r="K265" s="111"/>
      <c r="M265" s="130"/>
      <c r="N265" s="123"/>
      <c r="O265" s="123"/>
      <c r="P265" s="123"/>
      <c r="Q265" s="123"/>
      <c r="R265" s="130"/>
      <c r="S265" s="171"/>
    </row>
    <row r="266" spans="1:19" ht="27.75" customHeight="1" x14ac:dyDescent="0.25">
      <c r="A266" s="70"/>
      <c r="B266" s="50"/>
      <c r="C266" s="249"/>
      <c r="D266" s="105"/>
      <c r="E266" s="105"/>
      <c r="F266" s="252"/>
      <c r="G266" s="84"/>
      <c r="H266" s="85"/>
      <c r="I266" s="346"/>
      <c r="J266" s="230"/>
      <c r="K266" s="111"/>
      <c r="M266" s="130"/>
      <c r="N266" s="123"/>
      <c r="O266" s="123"/>
      <c r="P266" s="123"/>
      <c r="Q266" s="123"/>
      <c r="R266" s="130"/>
      <c r="S266" s="171"/>
    </row>
    <row r="267" spans="1:19" ht="27.75" customHeight="1" x14ac:dyDescent="0.25">
      <c r="A267" s="70"/>
      <c r="B267" s="50"/>
      <c r="C267" s="249"/>
      <c r="D267" s="105"/>
      <c r="E267" s="105"/>
      <c r="F267" s="252"/>
      <c r="G267" s="84"/>
      <c r="H267" s="85"/>
      <c r="I267" s="346"/>
      <c r="J267" s="230"/>
      <c r="K267" s="111"/>
      <c r="M267" s="130"/>
      <c r="N267" s="123"/>
      <c r="O267" s="123"/>
      <c r="P267" s="123"/>
      <c r="Q267" s="123"/>
      <c r="R267" s="130"/>
      <c r="S267" s="171"/>
    </row>
    <row r="268" spans="1:19" ht="27.75" customHeight="1" x14ac:dyDescent="0.25">
      <c r="A268" s="70"/>
      <c r="B268" s="50"/>
      <c r="C268" s="249"/>
      <c r="D268" s="105"/>
      <c r="E268" s="105"/>
      <c r="F268" s="252"/>
      <c r="G268" s="84"/>
      <c r="H268" s="85"/>
      <c r="I268" s="346"/>
      <c r="J268" s="230"/>
      <c r="K268" s="111"/>
      <c r="M268" s="130"/>
      <c r="N268" s="123"/>
      <c r="O268" s="123"/>
      <c r="P268" s="123"/>
      <c r="Q268" s="123"/>
      <c r="R268" s="130"/>
      <c r="S268" s="171"/>
    </row>
    <row r="269" spans="1:19" ht="27.75" customHeight="1" x14ac:dyDescent="0.25">
      <c r="A269" s="70"/>
      <c r="B269" s="50"/>
      <c r="C269" s="249"/>
      <c r="D269" s="105"/>
      <c r="E269" s="105"/>
      <c r="F269" s="252"/>
      <c r="G269" s="84"/>
      <c r="H269" s="85"/>
      <c r="I269" s="346"/>
      <c r="J269" s="230"/>
      <c r="K269" s="111"/>
      <c r="M269" s="130"/>
      <c r="N269" s="123"/>
      <c r="O269" s="123"/>
      <c r="P269" s="123"/>
      <c r="Q269" s="123"/>
      <c r="R269" s="130"/>
      <c r="S269" s="171"/>
    </row>
    <row r="270" spans="1:19" ht="27.75" customHeight="1" x14ac:dyDescent="0.25">
      <c r="A270" s="70"/>
      <c r="B270" s="50"/>
      <c r="C270" s="249"/>
      <c r="D270" s="105"/>
      <c r="E270" s="105"/>
      <c r="F270" s="252"/>
      <c r="G270" s="84"/>
      <c r="H270" s="85"/>
      <c r="I270" s="346"/>
      <c r="J270" s="230"/>
      <c r="K270" s="111"/>
      <c r="M270" s="130"/>
      <c r="N270" s="123"/>
      <c r="O270" s="123"/>
      <c r="P270" s="123"/>
      <c r="Q270" s="123"/>
      <c r="R270" s="130"/>
      <c r="S270" s="171"/>
    </row>
    <row r="271" spans="1:19" ht="27.75" customHeight="1" x14ac:dyDescent="0.25">
      <c r="A271" s="70"/>
      <c r="B271" s="50"/>
      <c r="C271" s="249"/>
      <c r="D271" s="105"/>
      <c r="E271" s="105"/>
      <c r="F271" s="252"/>
      <c r="G271" s="84"/>
      <c r="H271" s="85"/>
      <c r="I271" s="346"/>
      <c r="J271" s="230"/>
      <c r="K271" s="111"/>
      <c r="M271" s="130"/>
      <c r="N271" s="123"/>
      <c r="O271" s="123"/>
      <c r="P271" s="123"/>
      <c r="Q271" s="123"/>
      <c r="R271" s="130"/>
      <c r="S271" s="171"/>
    </row>
    <row r="272" spans="1:19" ht="27.75" customHeight="1" x14ac:dyDescent="0.25">
      <c r="A272" s="70"/>
      <c r="B272" s="50"/>
      <c r="C272" s="249"/>
      <c r="D272" s="105"/>
      <c r="E272" s="105"/>
      <c r="F272" s="252"/>
      <c r="G272" s="84"/>
      <c r="H272" s="85"/>
      <c r="I272" s="346"/>
      <c r="J272" s="230"/>
      <c r="K272" s="111"/>
      <c r="M272" s="130"/>
      <c r="N272" s="123"/>
      <c r="O272" s="123"/>
      <c r="P272" s="123"/>
      <c r="Q272" s="123"/>
      <c r="R272" s="130"/>
      <c r="S272" s="171"/>
    </row>
    <row r="273" spans="1:19" ht="27.75" customHeight="1" x14ac:dyDescent="0.25">
      <c r="A273" s="70"/>
      <c r="B273" s="50"/>
      <c r="C273" s="249"/>
      <c r="D273" s="105"/>
      <c r="E273" s="105"/>
      <c r="F273" s="252"/>
      <c r="G273" s="84"/>
      <c r="H273" s="85"/>
      <c r="I273" s="346"/>
      <c r="J273" s="230"/>
      <c r="K273" s="111"/>
      <c r="M273" s="130"/>
      <c r="N273" s="123"/>
      <c r="O273" s="123"/>
      <c r="P273" s="123"/>
      <c r="Q273" s="123"/>
      <c r="R273" s="130"/>
      <c r="S273" s="171"/>
    </row>
    <row r="274" spans="1:19" ht="27.75" customHeight="1" x14ac:dyDescent="0.25">
      <c r="A274" s="70"/>
      <c r="B274" s="50"/>
      <c r="C274" s="249"/>
      <c r="D274" s="105"/>
      <c r="E274" s="105"/>
      <c r="F274" s="252"/>
      <c r="G274" s="84"/>
      <c r="H274" s="85"/>
      <c r="I274" s="346"/>
      <c r="J274" s="230"/>
      <c r="K274" s="111"/>
      <c r="M274" s="130"/>
      <c r="N274" s="123"/>
      <c r="O274" s="123"/>
      <c r="P274" s="123"/>
      <c r="Q274" s="123"/>
      <c r="R274" s="130"/>
      <c r="S274" s="171"/>
    </row>
    <row r="275" spans="1:19" ht="27.75" customHeight="1" x14ac:dyDescent="0.25">
      <c r="A275" s="70"/>
      <c r="B275" s="50"/>
      <c r="C275" s="249"/>
      <c r="D275" s="105"/>
      <c r="E275" s="105"/>
      <c r="F275" s="252"/>
      <c r="G275" s="84"/>
      <c r="H275" s="85"/>
      <c r="I275" s="346"/>
      <c r="J275" s="230"/>
      <c r="K275" s="111"/>
      <c r="M275" s="130"/>
      <c r="N275" s="123"/>
      <c r="O275" s="123"/>
      <c r="P275" s="123"/>
      <c r="Q275" s="123"/>
      <c r="R275" s="130"/>
      <c r="S275" s="171"/>
    </row>
    <row r="276" spans="1:19" ht="27.75" customHeight="1" x14ac:dyDescent="0.25">
      <c r="A276" s="70"/>
      <c r="B276" s="50"/>
      <c r="C276" s="249"/>
      <c r="D276" s="105"/>
      <c r="E276" s="105"/>
      <c r="F276" s="252"/>
      <c r="G276" s="84"/>
      <c r="H276" s="85"/>
      <c r="I276" s="346"/>
      <c r="J276" s="230"/>
      <c r="K276" s="111"/>
      <c r="M276" s="130"/>
      <c r="N276" s="123"/>
      <c r="O276" s="123"/>
      <c r="P276" s="123"/>
      <c r="Q276" s="123"/>
      <c r="R276" s="130"/>
      <c r="S276" s="171"/>
    </row>
    <row r="277" spans="1:19" ht="27.75" customHeight="1" x14ac:dyDescent="0.25">
      <c r="A277" s="70"/>
      <c r="B277" s="50"/>
      <c r="C277" s="249"/>
      <c r="D277" s="105"/>
      <c r="E277" s="105"/>
      <c r="F277" s="252"/>
      <c r="G277" s="84"/>
      <c r="H277" s="85"/>
      <c r="I277" s="346"/>
      <c r="J277" s="230"/>
      <c r="K277" s="111"/>
      <c r="M277" s="130"/>
      <c r="N277" s="123"/>
      <c r="O277" s="123"/>
      <c r="P277" s="123"/>
      <c r="Q277" s="123"/>
      <c r="R277" s="130"/>
      <c r="S277" s="171"/>
    </row>
    <row r="278" spans="1:19" ht="27.75" customHeight="1" x14ac:dyDescent="0.25">
      <c r="A278" s="70"/>
      <c r="B278" s="50"/>
      <c r="C278" s="249"/>
      <c r="D278" s="105"/>
      <c r="E278" s="105"/>
      <c r="F278" s="252"/>
      <c r="G278" s="84"/>
      <c r="H278" s="85"/>
      <c r="I278" s="346"/>
      <c r="J278" s="230"/>
      <c r="K278" s="111"/>
      <c r="M278" s="130"/>
      <c r="N278" s="123"/>
      <c r="O278" s="123"/>
      <c r="P278" s="123"/>
      <c r="Q278" s="123"/>
      <c r="R278" s="130"/>
      <c r="S278" s="171"/>
    </row>
    <row r="279" spans="1:19" ht="27.75" customHeight="1" x14ac:dyDescent="0.25">
      <c r="A279" s="70"/>
      <c r="B279" s="50"/>
      <c r="C279" s="249"/>
      <c r="D279" s="105"/>
      <c r="E279" s="105"/>
      <c r="F279" s="252"/>
      <c r="G279" s="84"/>
      <c r="H279" s="85"/>
      <c r="I279" s="346"/>
      <c r="J279" s="230"/>
      <c r="K279" s="111"/>
      <c r="M279" s="130"/>
      <c r="N279" s="123"/>
      <c r="O279" s="123"/>
      <c r="P279" s="123"/>
      <c r="Q279" s="123"/>
      <c r="R279" s="130"/>
      <c r="S279" s="171"/>
    </row>
    <row r="280" spans="1:19" ht="27.75" customHeight="1" x14ac:dyDescent="0.25">
      <c r="A280" s="70"/>
      <c r="B280" s="50"/>
      <c r="C280" s="249"/>
      <c r="D280" s="105"/>
      <c r="E280" s="105"/>
      <c r="F280" s="252"/>
      <c r="G280" s="84"/>
      <c r="H280" s="85"/>
      <c r="I280" s="346"/>
      <c r="J280" s="230"/>
      <c r="K280" s="111"/>
      <c r="M280" s="130"/>
      <c r="N280" s="123"/>
      <c r="O280" s="123"/>
      <c r="P280" s="123"/>
      <c r="Q280" s="123"/>
      <c r="R280" s="130"/>
      <c r="S280" s="171"/>
    </row>
    <row r="281" spans="1:19" ht="27.75" customHeight="1" x14ac:dyDescent="0.25">
      <c r="A281" s="70"/>
      <c r="B281" s="50"/>
      <c r="C281" s="249"/>
      <c r="D281" s="105"/>
      <c r="E281" s="105"/>
      <c r="F281" s="252"/>
      <c r="G281" s="84"/>
      <c r="H281" s="85"/>
      <c r="I281" s="346"/>
      <c r="J281" s="230"/>
      <c r="K281" s="111"/>
      <c r="M281" s="130"/>
      <c r="N281" s="123"/>
      <c r="O281" s="123"/>
      <c r="P281" s="123"/>
      <c r="Q281" s="123"/>
      <c r="R281" s="130"/>
      <c r="S281" s="171"/>
    </row>
    <row r="282" spans="1:19" ht="27.75" customHeight="1" x14ac:dyDescent="0.25">
      <c r="A282" s="70"/>
      <c r="B282" s="50"/>
      <c r="C282" s="249"/>
      <c r="D282" s="105"/>
      <c r="E282" s="105"/>
      <c r="F282" s="252"/>
      <c r="G282" s="84"/>
      <c r="H282" s="85"/>
      <c r="I282" s="346"/>
      <c r="J282" s="230"/>
      <c r="K282" s="111"/>
      <c r="M282" s="130"/>
      <c r="N282" s="123"/>
      <c r="O282" s="123"/>
      <c r="P282" s="123"/>
      <c r="Q282" s="123"/>
      <c r="R282" s="130"/>
      <c r="S282" s="171"/>
    </row>
    <row r="283" spans="1:19" ht="27.75" customHeight="1" x14ac:dyDescent="0.25">
      <c r="A283" s="70"/>
      <c r="B283" s="50"/>
      <c r="C283" s="249"/>
      <c r="D283" s="105"/>
      <c r="E283" s="105"/>
      <c r="F283" s="252"/>
      <c r="G283" s="84"/>
      <c r="H283" s="85"/>
      <c r="I283" s="346"/>
      <c r="J283" s="230"/>
      <c r="K283" s="111"/>
      <c r="M283" s="130"/>
      <c r="N283" s="123"/>
      <c r="O283" s="123"/>
      <c r="P283" s="123"/>
      <c r="Q283" s="123"/>
      <c r="R283" s="130"/>
      <c r="S283" s="171"/>
    </row>
    <row r="284" spans="1:19" ht="27.75" customHeight="1" x14ac:dyDescent="0.25">
      <c r="A284" s="70"/>
      <c r="B284" s="50"/>
      <c r="C284" s="249"/>
      <c r="D284" s="105"/>
      <c r="E284" s="105"/>
      <c r="F284" s="252"/>
      <c r="G284" s="84"/>
      <c r="H284" s="85"/>
      <c r="I284" s="346"/>
      <c r="J284" s="230"/>
      <c r="K284" s="111"/>
      <c r="M284" s="130"/>
      <c r="N284" s="123"/>
      <c r="O284" s="123"/>
      <c r="P284" s="123"/>
      <c r="Q284" s="123"/>
      <c r="R284" s="130"/>
      <c r="S284" s="171"/>
    </row>
    <row r="285" spans="1:19" ht="27.75" customHeight="1" x14ac:dyDescent="0.25">
      <c r="A285" s="70"/>
      <c r="B285" s="50"/>
      <c r="C285" s="249"/>
      <c r="D285" s="105"/>
      <c r="E285" s="105"/>
      <c r="F285" s="252"/>
      <c r="G285" s="84"/>
      <c r="H285" s="85"/>
      <c r="I285" s="346"/>
      <c r="J285" s="230"/>
      <c r="K285" s="111"/>
      <c r="M285" s="130"/>
      <c r="N285" s="123"/>
      <c r="O285" s="123"/>
      <c r="P285" s="123"/>
      <c r="Q285" s="123"/>
      <c r="R285" s="130"/>
      <c r="S285" s="171"/>
    </row>
    <row r="286" spans="1:19" ht="27.75" customHeight="1" x14ac:dyDescent="0.25">
      <c r="A286" s="70"/>
      <c r="B286" s="50"/>
      <c r="C286" s="249"/>
      <c r="D286" s="105"/>
      <c r="E286" s="105"/>
      <c r="F286" s="252"/>
      <c r="G286" s="84"/>
      <c r="H286" s="85"/>
      <c r="I286" s="346"/>
      <c r="J286" s="230"/>
      <c r="K286" s="111"/>
      <c r="M286" s="130"/>
      <c r="N286" s="123"/>
      <c r="O286" s="123"/>
      <c r="P286" s="123"/>
      <c r="Q286" s="123"/>
      <c r="R286" s="130"/>
      <c r="S286" s="171"/>
    </row>
    <row r="287" spans="1:19" ht="27.75" customHeight="1" x14ac:dyDescent="0.25">
      <c r="A287" s="70"/>
      <c r="B287" s="50"/>
      <c r="C287" s="249"/>
      <c r="D287" s="105"/>
      <c r="E287" s="105"/>
      <c r="F287" s="252"/>
      <c r="G287" s="84"/>
      <c r="H287" s="85"/>
      <c r="I287" s="346"/>
      <c r="J287" s="230"/>
      <c r="K287" s="111"/>
      <c r="M287" s="130"/>
      <c r="N287" s="123"/>
      <c r="O287" s="123"/>
      <c r="P287" s="123"/>
      <c r="Q287" s="123"/>
      <c r="R287" s="130"/>
      <c r="S287" s="171"/>
    </row>
    <row r="288" spans="1:19" ht="27.75" customHeight="1" x14ac:dyDescent="0.25">
      <c r="A288" s="70"/>
      <c r="B288" s="50"/>
      <c r="C288" s="249"/>
      <c r="D288" s="105"/>
      <c r="E288" s="105"/>
      <c r="F288" s="252"/>
      <c r="G288" s="84"/>
      <c r="H288" s="85"/>
      <c r="I288" s="346"/>
      <c r="J288" s="230"/>
      <c r="K288" s="111"/>
      <c r="M288" s="130"/>
      <c r="N288" s="123"/>
      <c r="O288" s="123"/>
      <c r="P288" s="123"/>
      <c r="Q288" s="123"/>
      <c r="R288" s="130"/>
      <c r="S288" s="171"/>
    </row>
    <row r="289" spans="1:19" ht="27.75" customHeight="1" x14ac:dyDescent="0.25">
      <c r="A289" s="70"/>
      <c r="B289" s="50"/>
      <c r="C289" s="249"/>
      <c r="D289" s="105"/>
      <c r="E289" s="105"/>
      <c r="F289" s="252"/>
      <c r="G289" s="84"/>
      <c r="H289" s="85"/>
      <c r="I289" s="346"/>
      <c r="J289" s="230"/>
      <c r="K289" s="111"/>
      <c r="M289" s="130"/>
      <c r="N289" s="123"/>
      <c r="O289" s="123"/>
      <c r="P289" s="123"/>
      <c r="Q289" s="123"/>
      <c r="R289" s="130"/>
      <c r="S289" s="171"/>
    </row>
    <row r="290" spans="1:19" ht="27.75" customHeight="1" x14ac:dyDescent="0.25">
      <c r="A290" s="70"/>
      <c r="B290" s="50"/>
      <c r="C290" s="249"/>
      <c r="D290" s="105"/>
      <c r="E290" s="105"/>
      <c r="F290" s="252"/>
      <c r="G290" s="86"/>
      <c r="H290" s="87"/>
      <c r="I290" s="347"/>
      <c r="J290" s="230"/>
      <c r="K290" s="112"/>
      <c r="M290" s="132"/>
      <c r="N290" s="112"/>
      <c r="O290" s="112"/>
      <c r="P290" s="112"/>
      <c r="Q290" s="112"/>
      <c r="R290" s="132"/>
      <c r="S290" s="172"/>
    </row>
    <row r="291" spans="1:19" ht="27.75" customHeight="1" x14ac:dyDescent="0.25">
      <c r="A291" s="88"/>
      <c r="B291" s="51"/>
      <c r="C291" s="96"/>
      <c r="F291" s="96"/>
      <c r="G291" s="89"/>
      <c r="J291" s="230"/>
      <c r="K291" s="112"/>
      <c r="M291" s="132"/>
      <c r="N291" s="112"/>
      <c r="O291" s="112"/>
      <c r="P291" s="112"/>
      <c r="Q291" s="112"/>
      <c r="R291" s="132"/>
      <c r="S291" s="172"/>
    </row>
    <row r="292" spans="1:19" ht="23.25" customHeight="1" x14ac:dyDescent="0.25">
      <c r="A292" s="88"/>
      <c r="B292" s="51"/>
      <c r="C292" s="96"/>
      <c r="F292" s="96"/>
      <c r="G292" s="89"/>
      <c r="J292" s="230"/>
      <c r="K292" s="112"/>
      <c r="M292" s="132"/>
      <c r="N292" s="112"/>
      <c r="O292" s="112"/>
      <c r="P292" s="112"/>
      <c r="Q292" s="112"/>
      <c r="R292" s="132"/>
      <c r="S292" s="172"/>
    </row>
    <row r="293" spans="1:19" ht="23.25" customHeight="1" x14ac:dyDescent="0.25">
      <c r="A293" s="88"/>
      <c r="B293" s="51"/>
      <c r="C293" s="96"/>
      <c r="F293" s="96"/>
      <c r="G293" s="89"/>
      <c r="K293" s="112"/>
      <c r="M293" s="132"/>
      <c r="N293" s="112"/>
      <c r="O293" s="112"/>
      <c r="P293" s="112"/>
      <c r="Q293" s="112"/>
      <c r="R293" s="132"/>
      <c r="S293" s="172"/>
    </row>
    <row r="294" spans="1:19" ht="23.25" customHeight="1" x14ac:dyDescent="0.25">
      <c r="A294" s="88"/>
      <c r="B294" s="51"/>
      <c r="C294" s="96"/>
      <c r="F294" s="96"/>
      <c r="G294" s="89"/>
      <c r="K294" s="112"/>
      <c r="M294" s="132"/>
      <c r="N294" s="112"/>
      <c r="O294" s="112"/>
      <c r="P294" s="112"/>
      <c r="Q294" s="112"/>
      <c r="R294" s="132"/>
      <c r="S294" s="172"/>
    </row>
    <row r="295" spans="1:19" ht="23.25" customHeight="1" x14ac:dyDescent="0.25">
      <c r="A295" s="88"/>
      <c r="B295" s="51"/>
      <c r="C295" s="96"/>
      <c r="F295" s="96"/>
      <c r="G295" s="89"/>
      <c r="K295" s="112"/>
      <c r="M295" s="132"/>
      <c r="N295" s="112"/>
      <c r="O295" s="112"/>
      <c r="P295" s="112"/>
      <c r="Q295" s="112"/>
      <c r="R295" s="132"/>
      <c r="S295" s="172"/>
    </row>
    <row r="296" spans="1:19" ht="23.25" customHeight="1" x14ac:dyDescent="0.25">
      <c r="A296" s="88"/>
      <c r="B296" s="51"/>
      <c r="C296" s="96"/>
      <c r="F296" s="96"/>
      <c r="G296" s="89"/>
      <c r="K296" s="112"/>
      <c r="M296" s="132"/>
      <c r="N296" s="112"/>
      <c r="O296" s="112"/>
      <c r="P296" s="112"/>
      <c r="Q296" s="112"/>
      <c r="R296" s="132"/>
      <c r="S296" s="172"/>
    </row>
    <row r="297" spans="1:19" ht="23.25" customHeight="1" x14ac:dyDescent="0.25">
      <c r="A297" s="88"/>
      <c r="B297" s="51"/>
      <c r="C297" s="96"/>
      <c r="F297" s="96"/>
      <c r="G297" s="89"/>
      <c r="K297" s="112"/>
      <c r="M297" s="132"/>
      <c r="N297" s="112"/>
      <c r="O297" s="112"/>
      <c r="P297" s="112"/>
      <c r="Q297" s="112"/>
      <c r="R297" s="132"/>
      <c r="S297" s="172"/>
    </row>
    <row r="298" spans="1:19" ht="23.25" customHeight="1" x14ac:dyDescent="0.25">
      <c r="A298" s="88"/>
      <c r="B298" s="51"/>
      <c r="C298" s="96"/>
      <c r="F298" s="96"/>
      <c r="G298" s="89"/>
      <c r="K298" s="112"/>
      <c r="M298" s="132"/>
      <c r="N298" s="112"/>
      <c r="O298" s="112"/>
      <c r="P298" s="112"/>
      <c r="Q298" s="112"/>
      <c r="R298" s="132"/>
      <c r="S298" s="172"/>
    </row>
    <row r="299" spans="1:19" ht="23.25" customHeight="1" x14ac:dyDescent="0.25">
      <c r="A299" s="88"/>
      <c r="B299" s="51"/>
      <c r="C299" s="96"/>
      <c r="F299" s="96"/>
      <c r="G299" s="89"/>
      <c r="K299" s="112"/>
      <c r="M299" s="132"/>
      <c r="N299" s="112"/>
      <c r="O299" s="112"/>
      <c r="P299" s="112"/>
      <c r="Q299" s="112"/>
      <c r="R299" s="132"/>
      <c r="S299" s="172"/>
    </row>
    <row r="300" spans="1:19" ht="23.25" customHeight="1" x14ac:dyDescent="0.25">
      <c r="A300" s="88"/>
      <c r="B300" s="51"/>
      <c r="C300" s="96"/>
      <c r="F300" s="96"/>
      <c r="G300" s="89"/>
      <c r="K300" s="112"/>
      <c r="M300" s="132"/>
      <c r="N300" s="112"/>
      <c r="O300" s="112"/>
      <c r="P300" s="112"/>
      <c r="Q300" s="112"/>
      <c r="R300" s="132"/>
      <c r="S300" s="172"/>
    </row>
  </sheetData>
  <sheetProtection selectLockedCells="1"/>
  <mergeCells count="1">
    <mergeCell ref="D1:G1"/>
  </mergeCells>
  <conditionalFormatting sqref="B185:B301 B90:B180 B78:B88 B3:B76">
    <cfRule type="cellIs" dxfId="101" priority="1060" operator="equal">
      <formula>"Cancelada"</formula>
    </cfRule>
    <cfRule type="cellIs" dxfId="100" priority="1061" operator="equal">
      <formula>"Entregue"</formula>
    </cfRule>
    <cfRule type="cellIs" dxfId="99" priority="1062" operator="equal">
      <formula>"A caminho"</formula>
    </cfRule>
    <cfRule type="cellIs" dxfId="98" priority="1063" operator="equal">
      <formula>"Pronto para enviar"</formula>
    </cfRule>
  </conditionalFormatting>
  <conditionalFormatting sqref="B89">
    <cfRule type="cellIs" dxfId="97" priority="1050" operator="equal">
      <formula>"Cancelada"</formula>
    </cfRule>
    <cfRule type="cellIs" dxfId="96" priority="1051" operator="equal">
      <formula>"Entregue"</formula>
    </cfRule>
    <cfRule type="cellIs" dxfId="95" priority="1052" operator="equal">
      <formula>"A caminho"</formula>
    </cfRule>
    <cfRule type="cellIs" dxfId="94" priority="1053" operator="equal">
      <formula>"Pronto para enviar"</formula>
    </cfRule>
  </conditionalFormatting>
  <conditionalFormatting sqref="I187:I290 F188 H78:H186 H52:H76 H3:H37">
    <cfRule type="cellIs" dxfId="93" priority="1045" operator="greaterThan">
      <formula>0</formula>
    </cfRule>
    <cfRule type="cellIs" dxfId="92" priority="1046" operator="lessThanOrEqual">
      <formula>0</formula>
    </cfRule>
  </conditionalFormatting>
  <conditionalFormatting sqref="B185:B299 B78:B180 B3:B76">
    <cfRule type="cellIs" dxfId="91" priority="1032" operator="equal">
      <formula>"Reclamação"</formula>
    </cfRule>
  </conditionalFormatting>
  <conditionalFormatting sqref="B185:B1048576 B78:B180 B3:B76">
    <cfRule type="cellIs" dxfId="90" priority="1031" operator="equal">
      <formula>"Devolução"</formula>
    </cfRule>
  </conditionalFormatting>
  <conditionalFormatting sqref="B181:B182">
    <cfRule type="cellIs" dxfId="89" priority="1023" operator="equal">
      <formula>"Cancelada"</formula>
    </cfRule>
    <cfRule type="cellIs" dxfId="88" priority="1024" operator="equal">
      <formula>"Entregue"</formula>
    </cfRule>
    <cfRule type="cellIs" dxfId="87" priority="1025" operator="equal">
      <formula>"A caminho"</formula>
    </cfRule>
    <cfRule type="cellIs" dxfId="86" priority="1026" operator="equal">
      <formula>"Pronto para enviar"</formula>
    </cfRule>
  </conditionalFormatting>
  <conditionalFormatting sqref="B181:B182">
    <cfRule type="cellIs" dxfId="85" priority="1019" operator="equal">
      <formula>"Reclamação"</formula>
    </cfRule>
  </conditionalFormatting>
  <conditionalFormatting sqref="B181:B182">
    <cfRule type="cellIs" dxfId="84" priority="1018" operator="equal">
      <formula>"Devolução"</formula>
    </cfRule>
  </conditionalFormatting>
  <conditionalFormatting sqref="B183">
    <cfRule type="cellIs" dxfId="83" priority="1009" operator="equal">
      <formula>"Cancelada"</formula>
    </cfRule>
    <cfRule type="cellIs" dxfId="82" priority="1010" operator="equal">
      <formula>"Entregue"</formula>
    </cfRule>
    <cfRule type="cellIs" dxfId="81" priority="1011" operator="equal">
      <formula>"A caminho"</formula>
    </cfRule>
    <cfRule type="cellIs" dxfId="80" priority="1012" operator="equal">
      <formula>"Pronto para enviar"</formula>
    </cfRule>
  </conditionalFormatting>
  <conditionalFormatting sqref="B183">
    <cfRule type="cellIs" dxfId="79" priority="1006" operator="equal">
      <formula>"Reclamação"</formula>
    </cfRule>
  </conditionalFormatting>
  <conditionalFormatting sqref="B183">
    <cfRule type="cellIs" dxfId="78" priority="1005" operator="equal">
      <formula>"Devolução"</formula>
    </cfRule>
  </conditionalFormatting>
  <conditionalFormatting sqref="B184">
    <cfRule type="cellIs" dxfId="77" priority="996" operator="equal">
      <formula>"Cancelada"</formula>
    </cfRule>
    <cfRule type="cellIs" dxfId="76" priority="997" operator="equal">
      <formula>"Entregue"</formula>
    </cfRule>
    <cfRule type="cellIs" dxfId="75" priority="998" operator="equal">
      <formula>"A caminho"</formula>
    </cfRule>
    <cfRule type="cellIs" dxfId="74" priority="1004" operator="equal">
      <formula>"Pronto para enviar"</formula>
    </cfRule>
  </conditionalFormatting>
  <conditionalFormatting sqref="B184">
    <cfRule type="cellIs" dxfId="73" priority="995" operator="equal">
      <formula>"Reclamação"</formula>
    </cfRule>
  </conditionalFormatting>
  <conditionalFormatting sqref="B184">
    <cfRule type="cellIs" dxfId="72" priority="991" operator="equal">
      <formula>"Devolução"</formula>
    </cfRule>
  </conditionalFormatting>
  <conditionalFormatting sqref="P100:Q102 Q99 P105:Q122 P103:P104 P124:Q150 P153:Q159 P161:Q1048576 P1:Q98">
    <cfRule type="timePeriod" dxfId="71" priority="988" timePeriod="tomorrow">
      <formula>FLOOR(P1,1)=TODAY()+1</formula>
    </cfRule>
  </conditionalFormatting>
  <conditionalFormatting sqref="K185">
    <cfRule type="timePeriod" dxfId="70" priority="986" timePeriod="tomorrow">
      <formula>FLOOR(K185,1)=TODAY()+1</formula>
    </cfRule>
  </conditionalFormatting>
  <conditionalFormatting sqref="K185">
    <cfRule type="cellIs" dxfId="69" priority="985" operator="equal">
      <formula>"Ativado"</formula>
    </cfRule>
  </conditionalFormatting>
  <conditionalFormatting sqref="K185">
    <cfRule type="cellIs" dxfId="68" priority="984" operator="equal">
      <formula>"Pausado"</formula>
    </cfRule>
  </conditionalFormatting>
  <conditionalFormatting sqref="B77">
    <cfRule type="cellIs" dxfId="67" priority="972" operator="equal">
      <formula>"Cancelada"</formula>
    </cfRule>
    <cfRule type="cellIs" dxfId="66" priority="973" operator="equal">
      <formula>"Entregue"</formula>
    </cfRule>
    <cfRule type="cellIs" dxfId="65" priority="974" operator="equal">
      <formula>"A caminho"</formula>
    </cfRule>
    <cfRule type="cellIs" dxfId="64" priority="975" operator="equal">
      <formula>"Pronto para enviar"</formula>
    </cfRule>
  </conditionalFormatting>
  <conditionalFormatting sqref="H77">
    <cfRule type="cellIs" dxfId="63" priority="969" operator="greaterThan">
      <formula>0</formula>
    </cfRule>
    <cfRule type="cellIs" dxfId="62" priority="971" operator="lessThanOrEqual">
      <formula>0</formula>
    </cfRule>
  </conditionalFormatting>
  <conditionalFormatting sqref="B77">
    <cfRule type="cellIs" dxfId="61" priority="968" operator="equal">
      <formula>"Reclamação"</formula>
    </cfRule>
  </conditionalFormatting>
  <conditionalFormatting sqref="B77">
    <cfRule type="cellIs" dxfId="60" priority="967" operator="equal">
      <formula>"Devolução"</formula>
    </cfRule>
  </conditionalFormatting>
  <conditionalFormatting sqref="L77">
    <cfRule type="timePeriod" dxfId="59" priority="966" timePeriod="tomorrow">
      <formula>FLOOR(L77,1)=TODAY()+1</formula>
    </cfRule>
  </conditionalFormatting>
  <conditionalFormatting sqref="P186:R186 P185:Q185">
    <cfRule type="timePeriod" dxfId="58" priority="965" timePeriod="tomorrow">
      <formula>FLOOR(P185,1)=TODAY()+1</formula>
    </cfRule>
  </conditionalFormatting>
  <conditionalFormatting sqref="P99">
    <cfRule type="timePeriod" dxfId="57" priority="36" timePeriod="tomorrow">
      <formula>FLOOR(P99,1)=TODAY()+1</formula>
    </cfRule>
  </conditionalFormatting>
  <conditionalFormatting sqref="S124:S186 S2:S122">
    <cfRule type="expression" dxfId="56" priority="37">
      <formula>$B2="Devolução"</formula>
    </cfRule>
    <cfRule type="expression" dxfId="55" priority="38">
      <formula>$B2="Entregue"</formula>
    </cfRule>
  </conditionalFormatting>
  <conditionalFormatting sqref="T124:T1048576 T1 T3:T122">
    <cfRule type="duplicateValues" dxfId="54" priority="33"/>
  </conditionalFormatting>
  <conditionalFormatting sqref="P123:Q123">
    <cfRule type="timePeriod" dxfId="53" priority="32" timePeriod="tomorrow">
      <formula>FLOOR(P123,1)=TODAY()+1</formula>
    </cfRule>
  </conditionalFormatting>
  <conditionalFormatting sqref="S123">
    <cfRule type="expression" dxfId="52" priority="30">
      <formula>$B123="Devolução"</formula>
    </cfRule>
    <cfRule type="expression" dxfId="51" priority="31">
      <formula>$B123="Entregue"</formula>
    </cfRule>
  </conditionalFormatting>
  <conditionalFormatting sqref="T123">
    <cfRule type="duplicateValues" dxfId="50" priority="29"/>
  </conditionalFormatting>
  <conditionalFormatting sqref="J75:T135 J165:T165 P136:Q136 S136:T136 M137:T137 M139:N139 P138:Q139 K139:K140 M140:Q140 J141:M141 P141:Q141 O142:Q142 K143:M143 P143:Q143 L144:Q144 J145:K145 K146:L146 J147 M147 P145:Q147 K148:Q148 J149:M149 O149:Q149 P150:Q150 J150:J153 M154:N154 K154:K155 J156:K156 M155:M156 P153:Q156 O157:Q157 K159 M159 P158:Q159 K161 P161:Q162 J163:K164 M161:M164 J186:T186 M166 J167 K169:K170 M170 P166:Q171 S166:T171 L172:T172 K173 M173 P173:Q174 S173:T174 K175:T175 J176 K177 M176:M178 P176:Q178 O179:Q179 P180:Q180 S176:T180 K181:T181 M183 O182:T182 J183:J184 K185:L185 P183:Q185 S183:T185 O74:T74 S138:T162 P163:T164 P3:T73">
    <cfRule type="containsBlanks" dxfId="49" priority="28">
      <formula>LEN(TRIM(J3))=0</formula>
    </cfRule>
  </conditionalFormatting>
  <conditionalFormatting sqref="P151:Q151">
    <cfRule type="timePeriod" dxfId="48" priority="27" timePeriod="tomorrow">
      <formula>FLOOR(P151,1)=TODAY()+1</formula>
    </cfRule>
  </conditionalFormatting>
  <conditionalFormatting sqref="P151:Q151">
    <cfRule type="containsBlanks" dxfId="47" priority="26">
      <formula>LEN(TRIM(P151))=0</formula>
    </cfRule>
  </conditionalFormatting>
  <conditionalFormatting sqref="P152:Q152">
    <cfRule type="timePeriod" dxfId="46" priority="25" timePeriod="tomorrow">
      <formula>FLOOR(P152,1)=TODAY()+1</formula>
    </cfRule>
  </conditionalFormatting>
  <conditionalFormatting sqref="K152:M152 O152:Q152">
    <cfRule type="containsBlanks" dxfId="45" priority="24">
      <formula>LEN(TRIM(K152))=0</formula>
    </cfRule>
  </conditionalFormatting>
  <conditionalFormatting sqref="P160:Q160">
    <cfRule type="timePeriod" dxfId="44" priority="23" timePeriod="tomorrow">
      <formula>FLOOR(P160,1)=TODAY()+1</formula>
    </cfRule>
  </conditionalFormatting>
  <conditionalFormatting sqref="P160:Q160">
    <cfRule type="containsBlanks" dxfId="43" priority="22">
      <formula>LEN(TRIM(P160))=0</formula>
    </cfRule>
  </conditionalFormatting>
  <conditionalFormatting sqref="K169:K170 K1:K2 K75:K165 K173 K175 K177 K181 K185:K1048576">
    <cfRule type="duplicateValues" dxfId="42" priority="21"/>
  </conditionalFormatting>
  <conditionalFormatting sqref="T1 T3:T1048576">
    <cfRule type="expression" dxfId="41" priority="17">
      <formula>TemHiperlink(T:T)</formula>
    </cfRule>
  </conditionalFormatting>
  <conditionalFormatting sqref="T2">
    <cfRule type="expression" dxfId="40" priority="15">
      <formula>$B2="Devolução"</formula>
    </cfRule>
    <cfRule type="expression" dxfId="39" priority="16">
      <formula>$B2="Entregue"</formula>
    </cfRule>
  </conditionalFormatting>
  <conditionalFormatting sqref="U2:U186">
    <cfRule type="cellIs" dxfId="38" priority="13" operator="equal">
      <formula>"Em garantia"</formula>
    </cfRule>
    <cfRule type="cellIs" dxfId="37" priority="14" operator="equal">
      <formula>"Fora da garantia"</formula>
    </cfRule>
  </conditionalFormatting>
  <conditionalFormatting sqref="H45:H51">
    <cfRule type="cellIs" dxfId="36" priority="9" operator="greaterThan">
      <formula>0</formula>
    </cfRule>
    <cfRule type="cellIs" dxfId="35" priority="10" operator="lessThanOrEqual">
      <formula>0</formula>
    </cfRule>
  </conditionalFormatting>
  <conditionalFormatting sqref="H41:H44">
    <cfRule type="cellIs" dxfId="34" priority="5" operator="greaterThan">
      <formula>0</formula>
    </cfRule>
    <cfRule type="cellIs" dxfId="33" priority="6" operator="lessThanOrEqual">
      <formula>0</formula>
    </cfRule>
  </conditionalFormatting>
  <conditionalFormatting sqref="H38:H40">
    <cfRule type="cellIs" dxfId="32" priority="3" operator="greaterThan">
      <formula>0</formula>
    </cfRule>
    <cfRule type="cellIs" dxfId="31" priority="4" operator="lessThanOrEqual">
      <formula>0</formula>
    </cfRule>
  </conditionalFormatting>
  <conditionalFormatting sqref="A1:A192">
    <cfRule type="duplicateValues" dxfId="30" priority="4235"/>
  </conditionalFormatting>
  <dataValidations xWindow="1097" yWindow="233" count="11">
    <dataValidation type="list" allowBlank="1" showInputMessage="1" showErrorMessage="1" sqref="J265:J292" xr:uid="{DF58C8F2-DA7F-460E-9EEC-7D14113D0845}">
      <formula1>#REF!</formula1>
    </dataValidation>
    <dataValidation type="textLength" operator="lessThan" allowBlank="1" showInputMessage="1" showErrorMessage="1" errorTitle="Incorreto!" error="Número do código de rastreio está grande demais do esperado." sqref="R90 R92 R94:R95 R98 R81:R88 R109 R115:R116 R125:R126 R130:R131 R134 R137 R163:R165 R172 R175 R181:R182 R186:R1048576 R3:R79" xr:uid="{00094762-14DC-460B-BD2E-8D0FD7597E92}">
      <formula1>15</formula1>
    </dataValidation>
    <dataValidation type="date" operator="greaterThan" allowBlank="1" showInputMessage="1" showErrorMessage="1" errorTitle="Data inválida!" error="A data da entrega é menor que a data da compra." promptTitle="O que inserir?" prompt="Data do produto que chegou ao cliente ou data do produto que foi devolvido a loja." sqref="S2" xr:uid="{BDBAE190-B83C-478B-B466-1D2593E8052C}">
      <formula1>#REF!</formula1>
    </dataValidation>
    <dataValidation type="whole" operator="lessThan" allowBlank="1" sqref="T155:T1048576 T3:T153" xr:uid="{4CD8D252-8AEF-44A7-8AD6-D86A62ACDFB4}">
      <formula1>5</formula1>
    </dataValidation>
    <dataValidation type="whole" allowBlank="1" sqref="T154" xr:uid="{AC4D0BD7-AE7B-4F6E-ACC1-AFAABEE733F1}">
      <formula1>10000</formula1>
      <formula2>11000</formula2>
    </dataValidation>
    <dataValidation type="textLength" errorStyle="warning" allowBlank="1" showInputMessage="1" showErrorMessage="1" errorTitle="Ultrapassa o limite!" error="Tem algo de errado com o código do produto. Deve possuir 11 caracteres, ex.: #5295536766" sqref="E118:E1048576 E1:E116" xr:uid="{F2631589-020D-4C57-B787-E84170D7BEC3}">
      <formula1>11</formula1>
      <formula2>11</formula2>
    </dataValidation>
    <dataValidation type="list" allowBlank="1" showInputMessage="1" showErrorMessage="1" errorTitle="UF inválido!" error="O valor digitado não corresponde a uma Unidade Federativa (UF) do Brasil. Por favor, selecione uma opção válida da lista." sqref="P65:P1048576" xr:uid="{49124A93-087A-453C-9842-EB63B00591B2}">
      <formula1>"ac, al, ap, am, ba, ce, df, es, go, ma, mt, ms, mg, pa, pb, pr, pe, pi, rj, rn, rs, ro, rr, sc, sp, se, to"</formula1>
    </dataValidation>
    <dataValidation type="date" allowBlank="1" showInputMessage="1" showErrorMessage="1" errorTitle="Data inválida!" error="A data inserida não faz sentido." promptTitle="Inserir a data da venda" sqref="C3:C1048576" xr:uid="{3D396095-43B0-492B-B79A-ED097C30DF05}">
      <formula1>45295</formula1>
      <formula2>TODAY()</formula2>
    </dataValidation>
    <dataValidation type="list" allowBlank="1" showInputMessage="1" showErrorMessage="1" errorTitle="Status inválido! " error="O status inserido não é válido. Selecione uma opção correta para continuar." sqref="B3:B1048576" xr:uid="{24950C86-745E-4453-8B1C-C922F712C834}">
      <formula1>"Pronto para enviar,Devolução,A caminho,Entregue,Cancelada,Reclamação"</formula1>
    </dataValidation>
    <dataValidation type="textLength" errorStyle="warning" operator="equal" allowBlank="1" showInputMessage="1" showErrorMessage="1" errorTitle="Incompleto!" error="Faltou o # ou mais um número." sqref="A3:A1048576" xr:uid="{536CFD61-6E4C-41B3-B700-CE3CCF3A224B}">
      <formula1>17</formula1>
    </dataValidation>
    <dataValidation type="date" allowBlank="1" showInputMessage="1" showErrorMessage="1" errorTitle="Data inválida!" error="A data inserida aqui deve ser quando o cliente recebeu o produto, ou seja, tem que ser entre a data da compra e a data de hoje." sqref="S3:S1048576" xr:uid="{F54C2172-3C1A-4BCD-B2B5-415A0F0F9C50}">
      <formula1>C3</formula1>
      <formula2>TODAY()</formula2>
    </dataValidation>
  </dataValidations>
  <hyperlinks>
    <hyperlink ref="T64" r:id="rId1" xr:uid="{008728B7-68D1-4586-B5C5-ABF9858C19FD}"/>
    <hyperlink ref="T76" r:id="rId2" display="https://www.mercadolivre.com.br/vendas/2000007416258225/documento-fiscal/5f8a1ac3-01c8-4ea3-8602-86b40585c5e4?originalFilename=5f8a1ac3-01c8-4ea3-8602-86b40585c5e4-danfe.pdf" xr:uid="{04F15EFF-A889-4A66-A9D7-6A3DFD6BCD81}"/>
    <hyperlink ref="T66" r:id="rId3" xr:uid="{7E138566-92B9-4566-9503-2CEDEA14830E}"/>
    <hyperlink ref="T113" r:id="rId4" xr:uid="{535B8B9A-5B8D-4044-8EF9-138C6475FF8E}"/>
    <hyperlink ref="T154" r:id="rId5" xr:uid="{7C6BFC25-33C2-45C1-8ADE-ABBFE43B8DD5}"/>
    <hyperlink ref="T148" r:id="rId6" xr:uid="{70A3A102-3557-4440-AF79-A6C69B5FAAE3}"/>
    <hyperlink ref="T116" r:id="rId7" xr:uid="{7B04FC12-823E-41A1-904B-96E75CADE8C4}"/>
    <hyperlink ref="T115" r:id="rId8" xr:uid="{BC17E265-06FF-43A1-8090-B044A9E64D77}"/>
    <hyperlink ref="T63" r:id="rId9" xr:uid="{0D1AABBB-EC2A-4E3B-9508-BEF68EE0D818}"/>
    <hyperlink ref="T82" r:id="rId10" xr:uid="{C33071A1-F4E4-46AB-93D2-8DF5B17F5EEB}"/>
    <hyperlink ref="T65" r:id="rId11" xr:uid="{B2276975-525D-4554-A142-C2C96CAB9EA2}"/>
    <hyperlink ref="T62" r:id="rId12" xr:uid="{F121D206-30BC-497C-B407-66776E8F418B}"/>
    <hyperlink ref="T61" r:id="rId13" xr:uid="{F61D7FF4-5703-4F73-B2FA-0630E0F199C3}"/>
    <hyperlink ref="T68" r:id="rId14" xr:uid="{C78A8D26-9941-4818-9CF8-A8C5E5263380}"/>
    <hyperlink ref="T59" r:id="rId15" xr:uid="{E119607B-61B8-482B-9D93-ED115469635C}"/>
    <hyperlink ref="A59" r:id="rId16" xr:uid="{4AE0D780-D3E9-4084-BFEA-ED8BB43EF740}"/>
    <hyperlink ref="A60" r:id="rId17" xr:uid="{1069F21B-9B97-4020-874D-55056EDDDA7C}"/>
    <hyperlink ref="A61" r:id="rId18" xr:uid="{01040A7B-9B07-4A9B-9B42-CE14383251BD}"/>
    <hyperlink ref="A62" r:id="rId19" xr:uid="{B478EC83-A01E-4B9F-A825-97053F7FC568}"/>
    <hyperlink ref="A63" r:id="rId20" xr:uid="{619E1721-C208-4F35-9AD4-12667D23ADC9}"/>
    <hyperlink ref="A64" r:id="rId21" xr:uid="{6E9213A8-5B1B-41E0-B4D4-D1E88910CC08}"/>
    <hyperlink ref="A65" r:id="rId22" xr:uid="{51A20A97-1202-425E-A90B-F637EF2BF515}"/>
    <hyperlink ref="A66" r:id="rId23" xr:uid="{4FA42EF5-FE44-4F32-B5C5-CBFC10417772}"/>
    <hyperlink ref="A67" r:id="rId24" xr:uid="{CCD555D4-B6C6-4CE3-BBB8-660177A071F0}"/>
    <hyperlink ref="A68" r:id="rId25" xr:uid="{AB0A8378-F1A9-40BA-B49A-0C7E8C2EF822}"/>
    <hyperlink ref="A69" r:id="rId26" xr:uid="{C2585EEE-0C55-4D5D-BB8C-C7FB8DC26853}"/>
    <hyperlink ref="A70" r:id="rId27" xr:uid="{9662B635-3806-4644-928F-1BFAF38647AA}"/>
    <hyperlink ref="A71" r:id="rId28" xr:uid="{09A07CF7-D89A-4F3D-B0CA-25CD090021EC}"/>
    <hyperlink ref="A72" r:id="rId29" xr:uid="{B8CA3C0D-492F-40FF-B270-DBF8709F5C27}"/>
    <hyperlink ref="A73" r:id="rId30" xr:uid="{DF36A2B8-F52D-41A0-9B31-36960C3B6C39}"/>
    <hyperlink ref="A74" r:id="rId31" xr:uid="{6484B78B-86C7-453A-AD79-165B87BFAC97}"/>
    <hyperlink ref="A75" r:id="rId32" xr:uid="{E86EB346-F819-4EB0-9F73-1AEA7B2295F0}"/>
    <hyperlink ref="A76" r:id="rId33" xr:uid="{D192F1B0-977E-4940-ADC7-6D1063B84FDD}"/>
    <hyperlink ref="A77" r:id="rId34" xr:uid="{246CA6DD-D0D5-499E-BFD6-771E889038AF}"/>
    <hyperlink ref="A78" r:id="rId35" xr:uid="{51790732-D5FC-4518-A07A-0E8255449999}"/>
    <hyperlink ref="A79" r:id="rId36" xr:uid="{2FD0FCA2-5FF0-419F-8B24-9E2FB4729D0A}"/>
    <hyperlink ref="A80" r:id="rId37" xr:uid="{B317F0D5-C6C8-4574-ADD9-9CD6B239273F}"/>
    <hyperlink ref="A81" r:id="rId38" xr:uid="{206A2991-C326-4F67-85F1-7870A70EF7DC}"/>
    <hyperlink ref="A82" r:id="rId39" xr:uid="{4651DFD2-45C2-4E9B-B614-B70773524A42}"/>
    <hyperlink ref="A83" r:id="rId40" xr:uid="{2DDAB403-6565-4907-BECE-84CF01311127}"/>
    <hyperlink ref="A84" r:id="rId41" xr:uid="{9CA8648A-017E-48C1-A15E-D0DDEFF417F0}"/>
    <hyperlink ref="A85" r:id="rId42" xr:uid="{D07D1302-0116-48A8-839B-AB05DD608804}"/>
    <hyperlink ref="A86" r:id="rId43" xr:uid="{CD2CF4CF-3C82-44D8-88FF-EAF176AC3BB1}"/>
    <hyperlink ref="A87" r:id="rId44" xr:uid="{0B0EECC4-8B45-4870-8360-CE7FF260F2E7}"/>
    <hyperlink ref="A88" r:id="rId45" xr:uid="{C2A82CD3-BF60-4751-AE97-8B162A755F76}"/>
    <hyperlink ref="A89" r:id="rId46" xr:uid="{8FEF1D48-ACE0-41A9-AC4A-C7138CEAFF1F}"/>
    <hyperlink ref="A90" r:id="rId47" xr:uid="{5FA889AC-0F27-4205-8A8D-2407B2B888C4}"/>
    <hyperlink ref="A91" r:id="rId48" xr:uid="{8AC17E07-FF7D-452E-84D3-685CD1DED8A0}"/>
    <hyperlink ref="A92" r:id="rId49" xr:uid="{DA4718BA-3E81-4D72-947C-A726FACFFE47}"/>
    <hyperlink ref="A93" r:id="rId50" xr:uid="{9BDC199E-53DE-4597-9482-F86031A28C43}"/>
    <hyperlink ref="A94" r:id="rId51" xr:uid="{33471E01-C618-4FAC-97DF-6EE2E186B29D}"/>
    <hyperlink ref="A58" r:id="rId52" xr:uid="{16F42301-52F8-4767-8B0C-6DF6B1D184A6}"/>
    <hyperlink ref="T90" r:id="rId53" xr:uid="{F55BDAB2-C087-4956-833B-D647353EE272}"/>
    <hyperlink ref="A95" r:id="rId54" xr:uid="{4D327D10-6374-4544-A10F-17247FCCDBA8}"/>
    <hyperlink ref="A96" r:id="rId55" xr:uid="{00F90F79-D78E-4E2D-8B0D-48E779FADE9D}"/>
    <hyperlink ref="A97" r:id="rId56" xr:uid="{79F9F8DD-C8AC-477C-A827-D78C6D4DE895}"/>
    <hyperlink ref="A98" r:id="rId57" xr:uid="{FDB17F2E-E6E6-4ED6-813B-FDAC59B1F0AD}"/>
    <hyperlink ref="A99" r:id="rId58" xr:uid="{BB97E4CB-0D52-4140-84C3-F5D09E168B90}"/>
    <hyperlink ref="A100" r:id="rId59" xr:uid="{1C7444D8-E88F-45FD-886A-B2AF5147B274}"/>
    <hyperlink ref="A101" r:id="rId60" xr:uid="{C44A0366-10FC-4304-ABA5-29C95C17F603}"/>
    <hyperlink ref="A102" r:id="rId61" xr:uid="{E69E1391-C667-491C-B443-BEF010C15DB4}"/>
    <hyperlink ref="A103" r:id="rId62" xr:uid="{217F8005-E23B-4A7D-AAD0-ADAA341A8529}"/>
    <hyperlink ref="A104" r:id="rId63" xr:uid="{319E361E-46B5-4188-AD2F-48C59E64BF20}"/>
    <hyperlink ref="A105" r:id="rId64" xr:uid="{21FD57BF-0EDC-4981-AB48-44EE555A1213}"/>
    <hyperlink ref="A106" r:id="rId65" xr:uid="{ABEA129E-1453-445F-9304-3F318D3A2628}"/>
    <hyperlink ref="A107" r:id="rId66" xr:uid="{6481C195-19A5-4603-9C83-D037CFE7DF63}"/>
    <hyperlink ref="A108" r:id="rId67" xr:uid="{5AAE2401-5711-4E4D-83C4-01700352817A}"/>
    <hyperlink ref="A109" r:id="rId68" xr:uid="{752520D3-811D-4669-BF24-B3691B80C643}"/>
    <hyperlink ref="A110" r:id="rId69" xr:uid="{94E5E69D-ACC0-4A6B-84BF-AAD1B49E4B82}"/>
    <hyperlink ref="A111" r:id="rId70" xr:uid="{558A7E88-DD09-4D7D-90B9-C2D2551DD4A0}"/>
    <hyperlink ref="A112" r:id="rId71" xr:uid="{EAF55B31-B9A6-4EE1-AA68-D5397ED79BA9}"/>
    <hyperlink ref="A113" r:id="rId72" xr:uid="{EDC80BBC-6CA1-4E89-88F7-251829A10F79}"/>
    <hyperlink ref="A114" r:id="rId73" xr:uid="{69D87B91-59D8-4BC9-9A8C-BA27541B8CF8}"/>
    <hyperlink ref="A115" r:id="rId74" xr:uid="{41711901-FE3D-4556-BF1A-FA222CC6F69D}"/>
    <hyperlink ref="A116" r:id="rId75" xr:uid="{98E027D3-6741-4B18-9B8D-37A2CBBC8FA7}"/>
    <hyperlink ref="A117" r:id="rId76" xr:uid="{3B0A8D26-8A1E-4718-9058-E2D9C6434D67}"/>
    <hyperlink ref="A118" r:id="rId77" xr:uid="{6300563A-F784-4990-A59B-2D27A5E2DF90}"/>
    <hyperlink ref="A119" r:id="rId78" xr:uid="{84CAA345-E0B4-49EB-9FF5-899AB8D7DC8B}"/>
    <hyperlink ref="A120" r:id="rId79" xr:uid="{B95E0F62-C27B-4A7A-83F0-2091FB5777CA}"/>
    <hyperlink ref="A121" r:id="rId80" xr:uid="{FA9F3FCE-9AAC-47B1-AB85-52640728DE7B}"/>
    <hyperlink ref="A122" r:id="rId81" xr:uid="{828A3294-A669-4F26-B9F3-013C8FCD4EC0}"/>
    <hyperlink ref="A123" r:id="rId82" xr:uid="{9064EF20-B47C-4F29-B410-05821D972B06}"/>
    <hyperlink ref="A124" r:id="rId83" xr:uid="{BAEDC644-F49E-4EF9-8FED-59CE9BA8BF37}"/>
    <hyperlink ref="A125" r:id="rId84" xr:uid="{41AFE6CB-EA98-44F4-A260-7A018C6C1573}"/>
    <hyperlink ref="A126" r:id="rId85" xr:uid="{93028137-015E-4C84-98CC-57647E1CB900}"/>
    <hyperlink ref="A127" r:id="rId86" xr:uid="{54677E3F-B261-41ED-8255-BAEA67D5AD84}"/>
    <hyperlink ref="A128" r:id="rId87" xr:uid="{B43AE356-6147-486A-8D50-6D97AC7D8B4B}"/>
    <hyperlink ref="A129" r:id="rId88" xr:uid="{391AE2E0-B492-45AE-B8F8-FBCB0B7ED3F1}"/>
    <hyperlink ref="A130" r:id="rId89" xr:uid="{38AEA17B-171E-44E7-B0E6-1474ED06E7A8}"/>
    <hyperlink ref="A131" r:id="rId90" xr:uid="{2DA20254-62F6-4C2C-8DF1-4E74723A5E48}"/>
    <hyperlink ref="A132" r:id="rId91" xr:uid="{C40505BF-6FC7-4756-9875-C9ACC5FBE2EA}"/>
    <hyperlink ref="A133" r:id="rId92" xr:uid="{A49DC0AB-F12F-4808-92F0-357B189E4CCA}"/>
    <hyperlink ref="A134" r:id="rId93" xr:uid="{E3B3C610-3BE5-47F6-B371-376EFE464846}"/>
    <hyperlink ref="A135" r:id="rId94" xr:uid="{A2D1E3CA-5B11-4121-8FB9-70ADD39FBB30}"/>
    <hyperlink ref="A136" r:id="rId95" xr:uid="{B7774EA2-0CAF-495D-B447-B05E590F21EA}"/>
    <hyperlink ref="A137" r:id="rId96" xr:uid="{1BDBDDF4-C78C-4513-8653-05F607BE2E01}"/>
    <hyperlink ref="A138" r:id="rId97" xr:uid="{3730C1A8-5A50-4D6C-81FE-0E42A57CBD0C}"/>
    <hyperlink ref="A139" r:id="rId98" xr:uid="{7C128377-FDC9-4E05-B01F-89E34839E5EC}"/>
    <hyperlink ref="A140" r:id="rId99" xr:uid="{3891E5F8-47FE-4818-9796-86CB36A80DB8}"/>
    <hyperlink ref="A141" r:id="rId100" xr:uid="{126E99C6-1430-403A-93A0-6278628D2AAC}"/>
    <hyperlink ref="A142" r:id="rId101" xr:uid="{D9E4A145-2B66-4540-9E6B-51649B274A03}"/>
    <hyperlink ref="A143" r:id="rId102" xr:uid="{DBF83F0F-8EBF-49F4-A0B7-43D4A6234AB6}"/>
    <hyperlink ref="A144" r:id="rId103" xr:uid="{6F9CEB4C-797C-4A06-9C7B-D6614A615A3A}"/>
    <hyperlink ref="A145" r:id="rId104" xr:uid="{19C785B8-30FA-49C9-80D2-BCE1AED9B188}"/>
    <hyperlink ref="A146" r:id="rId105" xr:uid="{974D68D1-0B05-4203-86CF-E3FE16256420}"/>
    <hyperlink ref="A147" r:id="rId106" xr:uid="{E98EE52B-D933-4DC3-AE3D-966D61F2B0D0}"/>
    <hyperlink ref="A148" r:id="rId107" xr:uid="{E048491C-6E1A-4DB4-9868-D2F37DFE325B}"/>
    <hyperlink ref="A149" r:id="rId108" xr:uid="{D94F582C-DD69-4458-B9A4-F5E89ADCFC4A}"/>
    <hyperlink ref="A150" r:id="rId109" xr:uid="{4050A1EE-FA12-4A1D-9788-D8AA0C11495F}"/>
    <hyperlink ref="A151" r:id="rId110" xr:uid="{2862DE46-3B06-4F49-8FBA-A9F712DB6735}"/>
    <hyperlink ref="A152" r:id="rId111" xr:uid="{8496DAA8-922B-43E5-8B22-CBCD3E50F3D8}"/>
    <hyperlink ref="A153" r:id="rId112" xr:uid="{8DDBACEC-DCE5-4429-9D12-64C643CA9098}"/>
    <hyperlink ref="A154" r:id="rId113" xr:uid="{384250B7-6A57-4650-AAB4-A8A9C9B993E5}"/>
    <hyperlink ref="A155" r:id="rId114" xr:uid="{5EB48E83-FA72-4520-ADEB-9D82D5772F01}"/>
    <hyperlink ref="A156" r:id="rId115" xr:uid="{F8C22472-8737-4738-88E7-FC49D6F30A4A}"/>
    <hyperlink ref="A157" r:id="rId116" xr:uid="{07E88E0B-BDF1-4AF7-9E1A-20E3BB657C95}"/>
    <hyperlink ref="A158" r:id="rId117" xr:uid="{1916D0F1-414E-4EFC-8C50-56EFFC05C4A2}"/>
    <hyperlink ref="A159" r:id="rId118" xr:uid="{9319490A-DB68-45E3-841B-DE44A0FBE976}"/>
    <hyperlink ref="A160" r:id="rId119" xr:uid="{9E085E10-80A3-4E85-8047-67A5BD63F705}"/>
    <hyperlink ref="A161" r:id="rId120" xr:uid="{FD387464-5989-47A3-90C6-BD9F5EFC12EA}"/>
    <hyperlink ref="A162" r:id="rId121" xr:uid="{9FAF0818-55BD-454D-83B7-39F5396B77BE}"/>
    <hyperlink ref="A163" r:id="rId122" xr:uid="{90F99C0F-1865-474C-A4E1-750AE6A6DC15}"/>
    <hyperlink ref="A164" r:id="rId123" xr:uid="{D412D47E-125A-443B-9DD2-326DAF09CCD8}"/>
    <hyperlink ref="A165" r:id="rId124" xr:uid="{29F02E8B-2F18-4146-B50C-695532971306}"/>
    <hyperlink ref="A166" r:id="rId125" xr:uid="{634B0A6E-C342-44B1-859E-E7D23A3E41B4}"/>
    <hyperlink ref="A167" r:id="rId126" xr:uid="{70761B25-6013-4ABB-BEF9-6F4FD0E3CAEB}"/>
    <hyperlink ref="A168" r:id="rId127" xr:uid="{9721F7C7-E7A9-43BB-A3A6-3B574BDE46D1}"/>
    <hyperlink ref="A169" r:id="rId128" xr:uid="{D770E520-7746-469F-9DDF-6E047A07FC9E}"/>
    <hyperlink ref="A170" r:id="rId129" xr:uid="{31E58E1A-04CE-4C45-BC23-9A1668EB75F3}"/>
    <hyperlink ref="A171" r:id="rId130" xr:uid="{BC532D73-FC99-46BF-8CD8-9DCDFD66D197}"/>
    <hyperlink ref="A172" r:id="rId131" xr:uid="{581B410C-C2E4-4F68-9343-F48198B3720F}"/>
    <hyperlink ref="A173" r:id="rId132" xr:uid="{893427EC-2781-4F13-A278-3926DFACA776}"/>
    <hyperlink ref="A174" r:id="rId133" xr:uid="{C954BCF7-9034-40C8-BE13-61F8A645933A}"/>
    <hyperlink ref="A175" r:id="rId134" xr:uid="{5CB6EBE6-8A10-423A-8742-F2926FBCF3D9}"/>
    <hyperlink ref="A176" r:id="rId135" xr:uid="{EB3A6B45-565B-40C8-BCE5-B158A5E610A7}"/>
    <hyperlink ref="A177" r:id="rId136" xr:uid="{3A632381-E843-4023-B31E-D6B71A7E7547}"/>
    <hyperlink ref="A178" r:id="rId137" xr:uid="{C3D1DE18-3E50-41AA-A064-B2649CD46634}"/>
    <hyperlink ref="A179" r:id="rId138" xr:uid="{0C5E8961-2EC5-450D-8873-E887664CF898}"/>
    <hyperlink ref="A180" r:id="rId139" xr:uid="{03104636-8AB7-49AA-A124-5CF6A55F4DE5}"/>
    <hyperlink ref="A181" r:id="rId140" xr:uid="{32BC9005-9107-4E3E-A10E-413457DADC90}"/>
    <hyperlink ref="A182" r:id="rId141" xr:uid="{4D9004F8-5588-4892-B16F-56378314C3B1}"/>
    <hyperlink ref="A183" r:id="rId142" xr:uid="{D9884631-99E9-4001-BCCC-C3D11DDE2964}"/>
    <hyperlink ref="A184" r:id="rId143" xr:uid="{248505E8-007E-40D4-9805-180779EF2CE9}"/>
    <hyperlink ref="A185" r:id="rId144" xr:uid="{021D0B81-5DE2-4FF8-8F2D-B44654303714}"/>
    <hyperlink ref="A186" r:id="rId145" xr:uid="{5444E640-1C53-4F7E-891D-63F216B2EE41}"/>
    <hyperlink ref="T163" r:id="rId146" display="../../../MERCEDANIA NOTAS/NFe-010041-1.pdf" xr:uid="{01A381CA-64B1-48B1-8249-BCF92086C7CA}"/>
    <hyperlink ref="A57" r:id="rId147" xr:uid="{658C429D-EF74-4290-B325-5F239BA25483}"/>
    <hyperlink ref="A56" r:id="rId148" xr:uid="{EBA0A268-6D37-4EE1-AF90-88D486D6B728}"/>
    <hyperlink ref="T56" r:id="rId149" xr:uid="{82C00739-6992-48E6-8E23-5204E83904F0}"/>
    <hyperlink ref="T55" r:id="rId150" xr:uid="{BCDCF9AD-1938-4E95-BC6C-883B704BB571}"/>
    <hyperlink ref="A52" r:id="rId151" xr:uid="{1B24302E-FA26-47D4-A291-5B06F0D83065}"/>
    <hyperlink ref="T52" r:id="rId152" xr:uid="{096B884F-B38B-4DD3-A9DD-77B95BDDCB73}"/>
    <hyperlink ref="T51" r:id="rId153" xr:uid="{2ADF430A-5721-4283-A2FE-0CABEA9A1D41}"/>
    <hyperlink ref="T49" r:id="rId154" xr:uid="{A9697789-E180-49E9-886F-FA855D65AC1D}"/>
    <hyperlink ref="A53" r:id="rId155" xr:uid="{68063DB0-C5F1-4E43-A4F2-4F7A924B7C10}"/>
    <hyperlink ref="A55" r:id="rId156" xr:uid="{9B25AEB4-F5F2-4F77-A806-03BA6F92133D}"/>
    <hyperlink ref="A54" r:id="rId157" xr:uid="{E0EC683D-7543-499A-A0E0-D7733E5E27F5}"/>
    <hyperlink ref="A51" r:id="rId158" xr:uid="{A2BC8429-ECDD-4C01-BED1-898C32D788D8}"/>
    <hyperlink ref="A50" r:id="rId159" xr:uid="{57271F21-FC77-4429-913C-0C4C68ED12C9}"/>
    <hyperlink ref="A49" r:id="rId160" xr:uid="{8FB73F24-C937-4869-B6B4-9D0FE6A399D9}"/>
    <hyperlink ref="A48" r:id="rId161" xr:uid="{6C4FE001-3008-45CD-8E78-E30C1906ADB9}"/>
    <hyperlink ref="A47" r:id="rId162" xr:uid="{225C0044-E0AF-442C-B557-D2D902D5DFA3}"/>
    <hyperlink ref="T53" r:id="rId163" xr:uid="{527C8A72-ED49-4690-8552-637DD18EC3C0}"/>
    <hyperlink ref="T57" r:id="rId164" xr:uid="{9028A416-D1B0-4932-AF07-03F1FD822952}"/>
    <hyperlink ref="T58" r:id="rId165" xr:uid="{CFDE4951-24AB-416F-95F0-357923148C2A}"/>
    <hyperlink ref="A45" r:id="rId166" xr:uid="{35F8A65B-3C0A-4516-BED4-4F227E50D468}"/>
    <hyperlink ref="A46" r:id="rId167" xr:uid="{9243EF8A-45B5-4EFA-A659-7CD7B66BB539}"/>
    <hyperlink ref="A44" r:id="rId168" xr:uid="{0016BCDE-1B70-4887-A6DE-8A7ACCA9D637}"/>
    <hyperlink ref="A43" r:id="rId169" xr:uid="{C642043B-D072-4CC6-A13C-6B46B5C5E6A1}"/>
    <hyperlink ref="T43" r:id="rId170" xr:uid="{6FE28A8A-9037-4D7A-B3CC-2AD0AE84C883}"/>
    <hyperlink ref="T48" r:id="rId171" xr:uid="{DCAA738B-54AC-4824-953D-5630DA090449}"/>
    <hyperlink ref="T47" r:id="rId172" xr:uid="{291EB7F1-0B59-41C9-A910-E7F535B360B7}"/>
    <hyperlink ref="T46" r:id="rId173" xr:uid="{1DF5B3F6-EFCA-477E-9A09-7ECBD5049B8D}"/>
    <hyperlink ref="T42" r:id="rId174" xr:uid="{856EEF8C-9077-46B8-B23C-7EDC3FA98936}"/>
    <hyperlink ref="T44" r:id="rId175" xr:uid="{1EFC7E2C-B6CC-472F-8CF1-C16377CCDCCC}"/>
    <hyperlink ref="A39" r:id="rId176" xr:uid="{79F71E59-32A2-4D36-8FBF-8FA2D4E0226E}"/>
    <hyperlink ref="A38" r:id="rId177" xr:uid="{B7FF21E0-E601-4413-AA75-9147B28D120E}"/>
    <hyperlink ref="T38" r:id="rId178" xr:uid="{337F8B10-9AD6-4338-B4AC-6B44B386D82B}"/>
    <hyperlink ref="A37" r:id="rId179" xr:uid="{74A44A72-6C6F-47D2-828E-525359BF1384}"/>
    <hyperlink ref="T37" r:id="rId180" xr:uid="{6862CC38-BAEF-48B6-AD66-0CC73AA2F71A}"/>
    <hyperlink ref="A40" r:id="rId181" xr:uid="{D38E4956-10A2-4032-B25C-46EDF9D1AE8F}"/>
    <hyperlink ref="A36" r:id="rId182" xr:uid="{6CDE79D6-CA39-4E9A-934B-D97EF2B648DD}"/>
    <hyperlink ref="T45" r:id="rId183" xr:uid="{C977002B-1B69-4E31-BCFB-714A110B9481}"/>
    <hyperlink ref="A41" r:id="rId184" xr:uid="{38E15549-6EC1-465B-B04E-C9C1C2020DED}"/>
    <hyperlink ref="T41" r:id="rId185" xr:uid="{37E2FE72-E67D-4EC8-AC28-3E61FDB6857A}"/>
    <hyperlink ref="A33" r:id="rId186" xr:uid="{28903DD1-D8D8-4461-9A9A-2FCC04E52A30}"/>
    <hyperlink ref="A32" r:id="rId187" xr:uid="{5D1B2FF1-DD46-446C-A184-623D44DA128A}"/>
    <hyperlink ref="A31" r:id="rId188" xr:uid="{476F9650-3ADF-4457-A029-881CF4954B85}"/>
    <hyperlink ref="A30" r:id="rId189" xr:uid="{2F9975EE-8685-4CFA-91D3-70205E844708}"/>
    <hyperlink ref="A29" r:id="rId190" xr:uid="{49758F1D-F460-4838-818D-B6E34D99DB1B}"/>
    <hyperlink ref="D29" location="'Precificação de produto'!C35" display="'Precificação de produto'!C35" xr:uid="{2734E31E-39B5-40F7-B461-F677E0A2C029}"/>
    <hyperlink ref="A28" r:id="rId191" xr:uid="{3E2934C7-B33D-46DD-8FEE-CE89936F2233}"/>
    <hyperlink ref="A27" r:id="rId192" xr:uid="{C97DAEE2-BADE-43C1-98BA-AF91C6381EE3}"/>
    <hyperlink ref="A26" r:id="rId193" xr:uid="{644D2109-09C3-4830-90F2-C590403F9269}"/>
    <hyperlink ref="A25" r:id="rId194" xr:uid="{B7321D9A-3155-4B64-A9B3-7891C9F1FE56}"/>
    <hyperlink ref="A24" r:id="rId195" xr:uid="{FFAF136E-CCD9-4BB9-AFED-FF04BC2182E6}"/>
    <hyperlink ref="A23" r:id="rId196" xr:uid="{203C9533-C8D7-46C6-AE10-C4EE608CD24D}"/>
    <hyperlink ref="A22" r:id="rId197" xr:uid="{DD69A2D8-7C74-4360-90E1-DA8956199592}"/>
    <hyperlink ref="A20" r:id="rId198" xr:uid="{E4E9B1D5-03B6-4523-8E24-7061FF3FD78B}"/>
    <hyperlink ref="A19" r:id="rId199" xr:uid="{2E7F5342-33A5-46E8-B480-12DB68FF1C28}"/>
    <hyperlink ref="A18" r:id="rId200" xr:uid="{6B1E6EC3-9DB9-4B61-877F-841946DB280A}"/>
    <hyperlink ref="A17" r:id="rId201" xr:uid="{D8DBE846-9DB6-4091-932A-6C548D7D7F8D}"/>
    <hyperlink ref="A16" r:id="rId202" xr:uid="{3F2AF303-697F-4AD3-90CF-F66E78B117FB}"/>
    <hyperlink ref="A15" r:id="rId203" xr:uid="{472C74C8-244F-4307-A683-0D2D084028AA}"/>
    <hyperlink ref="A14" r:id="rId204" xr:uid="{89688EEC-F2E0-4436-A37D-127DD4D500F1}"/>
    <hyperlink ref="A12" r:id="rId205" xr:uid="{AA30B3F7-F23E-4C11-AAF5-1D17262FFE2E}"/>
    <hyperlink ref="A10" r:id="rId206" xr:uid="{A04F8308-D8DD-4E9D-B59F-D48769161E2C}"/>
    <hyperlink ref="A9" r:id="rId207" xr:uid="{D9CB0039-DB7F-4922-A443-784D1F1EBC11}"/>
    <hyperlink ref="A8" r:id="rId208" xr:uid="{1061EA3D-F49B-4E54-9103-3A1DCBAF1852}"/>
    <hyperlink ref="T8" r:id="rId209" xr:uid="{38CD0233-E9D5-4688-8242-2FC347CC5147}"/>
    <hyperlink ref="T9" r:id="rId210" xr:uid="{64579FB2-F3F1-403D-BFF6-C4B070EE4CB9}"/>
    <hyperlink ref="T10" r:id="rId211" xr:uid="{1D970C5D-A9DF-4820-B924-44D3B74F6B0F}"/>
    <hyperlink ref="T11" r:id="rId212" xr:uid="{31BA768B-AD86-467A-B94C-FC546B34078A}"/>
    <hyperlink ref="T12" r:id="rId213" xr:uid="{E7327EB5-0F72-4A47-A6A6-6F058131F594}"/>
    <hyperlink ref="T13" r:id="rId214" xr:uid="{223D7A6E-2962-48D1-882C-D255984A70B8}"/>
    <hyperlink ref="T14" r:id="rId215" xr:uid="{443A2321-ACFD-4F76-84AC-1E7C457C6103}"/>
    <hyperlink ref="T15" r:id="rId216" xr:uid="{6DE8E737-DA8B-42DD-BE58-2698D84D0794}"/>
    <hyperlink ref="T16" r:id="rId217" xr:uid="{A90E3DD8-28F6-4791-916C-7A1791003B43}"/>
    <hyperlink ref="T17" r:id="rId218" xr:uid="{38765C68-575F-41AB-9DC6-5E745743335F}"/>
    <hyperlink ref="T18" r:id="rId219" xr:uid="{05DEC888-A4D8-4329-93C3-8E5C1B101744}"/>
    <hyperlink ref="T19" r:id="rId220" xr:uid="{8D29C812-9E02-4C5F-83B4-485C2C7E7A3B}"/>
    <hyperlink ref="T20" r:id="rId221" xr:uid="{0DFEFE90-9780-4B74-BD1E-340D427DD32D}"/>
    <hyperlink ref="T21" r:id="rId222" xr:uid="{D94B2B6B-3C34-449D-A775-CC8F873640AC}"/>
    <hyperlink ref="A7" r:id="rId223" xr:uid="{63960B0B-14C0-46FC-9952-1B9834BBC126}"/>
    <hyperlink ref="T7" r:id="rId224" xr:uid="{FBED1608-EA50-48FD-9CE3-7E8E43C4161D}"/>
    <hyperlink ref="A6" r:id="rId225" xr:uid="{BBA6AEF1-E4DB-4571-ADBA-BAD158AA06DE}"/>
    <hyperlink ref="A5" r:id="rId226" xr:uid="{FCAE64A6-E9AD-4706-840D-8A6E5FB606BD}"/>
    <hyperlink ref="T5" r:id="rId227" xr:uid="{3772E2BF-EDBA-4CC7-BD73-1098C8E57EF8}"/>
    <hyperlink ref="A4" r:id="rId228" xr:uid="{F467AD35-E02F-4F9A-9C19-B5F326B2B728}"/>
    <hyperlink ref="A3" r:id="rId229" xr:uid="{33DDD8EC-6048-436E-A1E0-2273C96F0883}"/>
  </hyperlinks>
  <pageMargins left="0.511811024" right="0.511811024" top="0.78740157499999996" bottom="0.78740157499999996" header="0.31496062000000002" footer="0.31496062000000002"/>
  <pageSetup paperSize="9" orientation="portrait" r:id="rId230"/>
  <ignoredErrors>
    <ignoredError sqref="S2" listDataValidation="1"/>
  </ignoredErrors>
  <drawing r:id="rId231"/>
  <legacyDrawing r:id="rId23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233" name="Button 6">
              <controlPr defaultSize="0" print="0" autoFill="0" autoPict="0" macro="[0]!nova_venda">
                <anchor moveWithCells="1" sizeWithCells="1">
                  <from>
                    <xdr:col>0</xdr:col>
                    <xdr:colOff>1219200</xdr:colOff>
                    <xdr:row>0</xdr:row>
                    <xdr:rowOff>57150</xdr:rowOff>
                  </from>
                  <to>
                    <xdr:col>1</xdr:col>
                    <xdr:colOff>1143000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234" name="Button 12">
              <controlPr defaultSize="0" print="0" autoFill="0" autoPict="0" macro="[0]!Formatar_Celulas">
                <anchor moveWithCells="1" sizeWithCells="1">
                  <from>
                    <xdr:col>2</xdr:col>
                    <xdr:colOff>76200</xdr:colOff>
                    <xdr:row>0</xdr:row>
                    <xdr:rowOff>57150</xdr:rowOff>
                  </from>
                  <to>
                    <xdr:col>3</xdr:col>
                    <xdr:colOff>561975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23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BB97-715F-4689-934F-97EB46AF7DBA}">
  <sheetPr codeName="Planilha5">
    <tabColor theme="4" tint="-0.499984740745262"/>
  </sheetPr>
  <dimension ref="B1:Z54"/>
  <sheetViews>
    <sheetView zoomScaleNormal="100" workbookViewId="0">
      <selection activeCell="K8" sqref="K8"/>
    </sheetView>
  </sheetViews>
  <sheetFormatPr defaultColWidth="9.140625" defaultRowHeight="15" x14ac:dyDescent="0.25"/>
  <cols>
    <col min="1" max="1" width="43.7109375" style="105" customWidth="1"/>
    <col min="2" max="2" width="3.28515625" customWidth="1"/>
    <col min="3" max="4" width="8.85546875"/>
    <col min="5" max="5" width="3.5703125" customWidth="1"/>
    <col min="6" max="7" width="8.85546875"/>
    <col min="8" max="8" width="2.140625" customWidth="1"/>
    <col min="9" max="10" width="8.85546875"/>
    <col min="11" max="11" width="3.28515625" customWidth="1"/>
    <col min="12" max="12" width="3.42578125" customWidth="1"/>
    <col min="13" max="16" width="8.85546875"/>
    <col min="17" max="17" width="3.42578125" customWidth="1"/>
    <col min="18" max="18" width="10.5703125" style="105" bestFit="1" customWidth="1"/>
    <col min="19" max="25" width="9.140625" style="105"/>
    <col min="26" max="26" width="11.7109375" style="105" bestFit="1" customWidth="1"/>
    <col min="27" max="16384" width="9.140625" style="105"/>
  </cols>
  <sheetData>
    <row r="1" spans="2:26" s="548" customFormat="1" ht="29.25" customHeight="1" x14ac:dyDescent="0.25">
      <c r="B1" s="585" t="s">
        <v>1761</v>
      </c>
      <c r="C1" s="585"/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50"/>
      <c r="P1" s="550"/>
      <c r="Q1" s="550"/>
      <c r="R1" s="550"/>
      <c r="S1" s="551"/>
      <c r="T1" s="274" t="s">
        <v>49</v>
      </c>
      <c r="Z1" s="549" t="s">
        <v>2002</v>
      </c>
    </row>
    <row r="2" spans="2:26" ht="12.6" customHeight="1" thickBot="1" x14ac:dyDescent="0.3">
      <c r="B2" s="545"/>
      <c r="C2" s="546"/>
      <c r="D2" s="546"/>
      <c r="E2" s="546"/>
      <c r="F2" s="546"/>
      <c r="G2" s="546"/>
      <c r="H2" s="546"/>
      <c r="I2" s="546"/>
      <c r="J2" s="546"/>
      <c r="K2" s="547"/>
      <c r="L2" s="544"/>
      <c r="M2" s="544"/>
      <c r="N2" s="544"/>
      <c r="O2" s="544"/>
      <c r="P2" s="544"/>
      <c r="Q2" s="542"/>
      <c r="Z2" s="536" t="s">
        <v>1755</v>
      </c>
    </row>
    <row r="3" spans="2:26" ht="24.6" customHeight="1" x14ac:dyDescent="0.25">
      <c r="B3" s="586" t="s">
        <v>288</v>
      </c>
      <c r="C3" s="587"/>
      <c r="D3" s="587"/>
      <c r="E3" s="587"/>
      <c r="F3" s="587"/>
      <c r="G3" s="587"/>
      <c r="H3" s="587"/>
      <c r="I3" s="587"/>
      <c r="J3" s="587"/>
      <c r="K3" s="588"/>
      <c r="L3" s="543"/>
      <c r="M3" s="607" t="s">
        <v>294</v>
      </c>
      <c r="N3" s="608"/>
      <c r="O3" s="608"/>
      <c r="P3" s="609"/>
      <c r="Q3" s="541"/>
      <c r="Z3" s="101" t="s">
        <v>1999</v>
      </c>
    </row>
    <row r="4" spans="2:26" ht="9.75" customHeight="1" thickBot="1" x14ac:dyDescent="0.3">
      <c r="B4" s="586"/>
      <c r="C4" s="587"/>
      <c r="D4" s="587"/>
      <c r="E4" s="587"/>
      <c r="F4" s="587"/>
      <c r="G4" s="587"/>
      <c r="H4" s="587"/>
      <c r="I4" s="587"/>
      <c r="J4" s="587"/>
      <c r="K4" s="588"/>
      <c r="L4" s="57"/>
      <c r="M4" s="607"/>
      <c r="N4" s="608"/>
      <c r="O4" s="608"/>
      <c r="P4" s="609"/>
      <c r="Q4" s="452"/>
      <c r="Z4" s="101" t="b">
        <v>0</v>
      </c>
    </row>
    <row r="5" spans="2:26" ht="26.45" customHeight="1" thickTop="1" thickBot="1" x14ac:dyDescent="0.3">
      <c r="B5" s="63"/>
      <c r="C5" s="577" t="s">
        <v>1731</v>
      </c>
      <c r="D5" s="577"/>
      <c r="E5" s="59"/>
      <c r="F5" s="589" t="s">
        <v>2001</v>
      </c>
      <c r="G5" s="590"/>
      <c r="H5" s="590"/>
      <c r="I5" s="591"/>
      <c r="J5" s="537" t="s">
        <v>1754</v>
      </c>
      <c r="K5" s="61"/>
      <c r="L5" s="57"/>
      <c r="M5" s="607"/>
      <c r="N5" s="608"/>
      <c r="O5" s="608"/>
      <c r="P5" s="609"/>
      <c r="Q5" s="451"/>
    </row>
    <row r="6" spans="2:26" ht="15.75" thickTop="1" x14ac:dyDescent="0.25">
      <c r="B6" s="63"/>
      <c r="C6" s="59"/>
      <c r="D6" s="59"/>
      <c r="E6" s="59"/>
      <c r="F6" s="582"/>
      <c r="G6" s="583"/>
      <c r="H6" s="583"/>
      <c r="I6" s="584"/>
      <c r="J6" s="59"/>
      <c r="K6" s="61"/>
      <c r="L6" s="57"/>
      <c r="M6" s="578" t="s">
        <v>289</v>
      </c>
      <c r="N6" s="579"/>
      <c r="O6" s="594">
        <f>F13*(1-I13)</f>
        <v>56.5</v>
      </c>
      <c r="P6" s="595"/>
      <c r="Q6" s="453"/>
    </row>
    <row r="7" spans="2:26" ht="15.75" customHeight="1" x14ac:dyDescent="0.25">
      <c r="B7" s="63"/>
      <c r="C7" s="577" t="s">
        <v>285</v>
      </c>
      <c r="D7" s="577"/>
      <c r="E7" s="60"/>
      <c r="F7" s="580" t="s">
        <v>1911</v>
      </c>
      <c r="G7" s="580"/>
      <c r="H7" s="106"/>
      <c r="I7" s="106"/>
      <c r="J7" s="59"/>
      <c r="K7" s="61"/>
      <c r="L7" s="57"/>
      <c r="M7" s="578"/>
      <c r="N7" s="579"/>
      <c r="O7" s="594"/>
      <c r="P7" s="595"/>
      <c r="Q7" s="453"/>
    </row>
    <row r="8" spans="2:26" ht="15.75" x14ac:dyDescent="0.25">
      <c r="B8" s="63"/>
      <c r="C8" s="577"/>
      <c r="D8" s="577"/>
      <c r="E8" s="60"/>
      <c r="F8" s="580"/>
      <c r="G8" s="580"/>
      <c r="H8" s="106"/>
      <c r="I8" s="106"/>
      <c r="J8" s="59"/>
      <c r="K8" s="61"/>
      <c r="L8" s="57"/>
      <c r="M8" s="578" t="s">
        <v>290</v>
      </c>
      <c r="N8" s="579"/>
      <c r="O8" s="610">
        <f>IF(F7="Premium", O6*17%, IF(F7="Clássico", O6*12%, ""))</f>
        <v>9.6050000000000004</v>
      </c>
      <c r="P8" s="611"/>
      <c r="Q8" s="454"/>
    </row>
    <row r="9" spans="2:26" x14ac:dyDescent="0.25">
      <c r="B9" s="63"/>
      <c r="C9" s="59"/>
      <c r="D9" s="59"/>
      <c r="E9" s="59"/>
      <c r="F9" s="59"/>
      <c r="G9" s="59"/>
      <c r="H9" s="59"/>
      <c r="I9" s="59"/>
      <c r="J9" s="59"/>
      <c r="K9" s="61"/>
      <c r="L9" s="57"/>
      <c r="M9" s="578"/>
      <c r="N9" s="579"/>
      <c r="O9" s="610"/>
      <c r="P9" s="611"/>
      <c r="Q9" s="454"/>
    </row>
    <row r="10" spans="2:26" x14ac:dyDescent="0.25">
      <c r="B10" s="63"/>
      <c r="C10" s="577" t="s">
        <v>286</v>
      </c>
      <c r="D10" s="577"/>
      <c r="E10" s="60"/>
      <c r="F10" s="581"/>
      <c r="G10" s="581"/>
      <c r="H10" s="107"/>
      <c r="I10" s="107"/>
      <c r="J10" s="59"/>
      <c r="K10" s="61"/>
      <c r="L10" s="57"/>
      <c r="M10" s="578" t="s">
        <v>291</v>
      </c>
      <c r="N10" s="579"/>
      <c r="O10" s="594">
        <f>F10</f>
        <v>0</v>
      </c>
      <c r="P10" s="595"/>
      <c r="Q10" s="455"/>
    </row>
    <row r="11" spans="2:26" x14ac:dyDescent="0.25">
      <c r="B11" s="63"/>
      <c r="C11" s="577"/>
      <c r="D11" s="577"/>
      <c r="E11" s="60"/>
      <c r="F11" s="581"/>
      <c r="G11" s="581"/>
      <c r="H11" s="107"/>
      <c r="I11" s="107"/>
      <c r="J11" s="59"/>
      <c r="K11" s="61"/>
      <c r="L11" s="57"/>
      <c r="M11" s="578"/>
      <c r="N11" s="579"/>
      <c r="O11" s="594"/>
      <c r="P11" s="595"/>
      <c r="Q11" s="453"/>
      <c r="S11" s="534"/>
    </row>
    <row r="12" spans="2:26" x14ac:dyDescent="0.25">
      <c r="B12" s="63"/>
      <c r="C12" s="59"/>
      <c r="D12" s="59"/>
      <c r="E12" s="59"/>
      <c r="F12" s="59"/>
      <c r="G12" s="59"/>
      <c r="H12" s="59"/>
      <c r="I12" s="108" t="s">
        <v>445</v>
      </c>
      <c r="J12" s="538">
        <f>F13 * I13</f>
        <v>0</v>
      </c>
      <c r="K12" s="61"/>
      <c r="L12" s="57"/>
      <c r="M12" s="605" t="s">
        <v>292</v>
      </c>
      <c r="N12" s="606"/>
      <c r="O12" s="594">
        <f>IF(F10&lt;&gt;"", "R$ 0,00",
IF(O6&lt;=12.5, INT((O6/2)/0.02)*0.02,
IF(O6&lt;29, 6.25,
IF(O6&lt;50, 6.5,
IF(O6&lt;=79, 6.75,
0)))))</f>
        <v>6.75</v>
      </c>
      <c r="P12" s="595"/>
      <c r="Q12" s="453"/>
    </row>
    <row r="13" spans="2:26" x14ac:dyDescent="0.25">
      <c r="B13" s="63"/>
      <c r="C13" s="577" t="s">
        <v>287</v>
      </c>
      <c r="D13" s="577"/>
      <c r="E13" s="60"/>
      <c r="F13" s="581">
        <v>56.5</v>
      </c>
      <c r="G13" s="581"/>
      <c r="H13" s="107"/>
      <c r="I13" s="604">
        <v>0</v>
      </c>
      <c r="J13" s="59"/>
      <c r="K13" s="61"/>
      <c r="L13" s="57"/>
      <c r="M13" s="605"/>
      <c r="N13" s="606"/>
      <c r="O13" s="594"/>
      <c r="P13" s="595"/>
      <c r="Q13" s="453"/>
      <c r="Z13" s="540" t="s">
        <v>1760</v>
      </c>
    </row>
    <row r="14" spans="2:26" x14ac:dyDescent="0.25">
      <c r="B14" s="63"/>
      <c r="C14" s="577"/>
      <c r="D14" s="577"/>
      <c r="E14" s="60"/>
      <c r="F14" s="581"/>
      <c r="G14" s="581"/>
      <c r="H14" s="107"/>
      <c r="I14" s="604"/>
      <c r="J14" s="59"/>
      <c r="K14" s="61"/>
      <c r="L14" s="57"/>
      <c r="M14" s="596" t="s">
        <v>293</v>
      </c>
      <c r="N14" s="597"/>
      <c r="O14" s="600">
        <f>O6-O8-O10-O12</f>
        <v>40.144999999999996</v>
      </c>
      <c r="P14" s="601"/>
      <c r="Q14" s="456"/>
    </row>
    <row r="15" spans="2:26" x14ac:dyDescent="0.25">
      <c r="B15" s="63"/>
      <c r="C15" s="59"/>
      <c r="D15" s="59"/>
      <c r="E15" s="59"/>
      <c r="F15" s="59"/>
      <c r="G15" s="59"/>
      <c r="H15" s="59"/>
      <c r="I15" s="59"/>
      <c r="J15" s="59"/>
      <c r="K15" s="61"/>
      <c r="L15" s="57"/>
      <c r="M15" s="598"/>
      <c r="N15" s="599"/>
      <c r="O15" s="602"/>
      <c r="P15" s="603"/>
      <c r="Q15" s="457"/>
    </row>
    <row r="16" spans="2:26" x14ac:dyDescent="0.25">
      <c r="B16" s="63"/>
      <c r="C16" s="59"/>
      <c r="D16" s="59"/>
      <c r="E16" s="59"/>
      <c r="F16" s="59"/>
      <c r="G16" s="59"/>
      <c r="H16" s="59"/>
      <c r="I16" s="59"/>
      <c r="J16" s="59"/>
      <c r="K16" s="61"/>
      <c r="L16" s="57"/>
      <c r="M16" s="58"/>
      <c r="N16" s="58"/>
      <c r="O16" s="58"/>
      <c r="P16" s="58"/>
      <c r="Q16" s="62"/>
    </row>
    <row r="17" spans="2:18" ht="17.45" customHeight="1" thickBot="1" x14ac:dyDescent="0.3">
      <c r="B17" s="64"/>
      <c r="C17" s="65"/>
      <c r="D17" s="535"/>
      <c r="E17" s="535"/>
      <c r="F17" s="592" t="s">
        <v>1753</v>
      </c>
      <c r="G17" s="593"/>
      <c r="H17" s="535"/>
      <c r="I17" s="535"/>
      <c r="J17" s="65"/>
      <c r="K17" s="66"/>
      <c r="L17" s="67"/>
      <c r="M17" s="68"/>
      <c r="N17" s="68"/>
      <c r="O17" s="68"/>
      <c r="P17" s="68"/>
      <c r="Q17" s="458"/>
    </row>
    <row r="18" spans="2:18" x14ac:dyDescent="0.25"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450"/>
    </row>
    <row r="19" spans="2:18" x14ac:dyDescent="0.25"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56"/>
    </row>
    <row r="20" spans="2:18" x14ac:dyDescent="0.25"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56"/>
      <c r="R20" s="539"/>
    </row>
    <row r="21" spans="2:18" x14ac:dyDescent="0.25"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56"/>
    </row>
    <row r="22" spans="2:18" x14ac:dyDescent="0.25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56"/>
    </row>
    <row r="23" spans="2:18" x14ac:dyDescent="0.25"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56"/>
    </row>
    <row r="24" spans="2:18" x14ac:dyDescent="0.25"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56"/>
    </row>
    <row r="25" spans="2:18" x14ac:dyDescent="0.25"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56"/>
    </row>
    <row r="26" spans="2:18" x14ac:dyDescent="0.25"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56"/>
    </row>
    <row r="27" spans="2:18" x14ac:dyDescent="0.25"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56"/>
    </row>
    <row r="28" spans="2:18" x14ac:dyDescent="0.25"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56"/>
    </row>
    <row r="29" spans="2:18" x14ac:dyDescent="0.25"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56"/>
    </row>
    <row r="30" spans="2:18" x14ac:dyDescent="0.25"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56"/>
    </row>
    <row r="31" spans="2:18" x14ac:dyDescent="0.25"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56"/>
    </row>
    <row r="32" spans="2:18" x14ac:dyDescent="0.25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56"/>
    </row>
    <row r="33" spans="2:17" x14ac:dyDescent="0.2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56"/>
    </row>
    <row r="34" spans="2:17" x14ac:dyDescent="0.25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56"/>
    </row>
    <row r="35" spans="2:17" x14ac:dyDescent="0.25"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56"/>
    </row>
    <row r="36" spans="2:17" x14ac:dyDescent="0.25"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56"/>
    </row>
    <row r="37" spans="2:17" x14ac:dyDescent="0.25"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56"/>
    </row>
    <row r="38" spans="2:17" x14ac:dyDescent="0.25"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56"/>
    </row>
    <row r="39" spans="2:17" x14ac:dyDescent="0.25"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56"/>
    </row>
    <row r="40" spans="2:17" x14ac:dyDescent="0.25"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56"/>
    </row>
    <row r="41" spans="2:17" x14ac:dyDescent="0.25"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56"/>
    </row>
    <row r="42" spans="2:17" x14ac:dyDescent="0.25"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56"/>
    </row>
    <row r="43" spans="2:17" x14ac:dyDescent="0.25"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56"/>
    </row>
    <row r="44" spans="2:17" x14ac:dyDescent="0.25"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56"/>
    </row>
    <row r="45" spans="2:17" x14ac:dyDescent="0.25"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56"/>
    </row>
    <row r="46" spans="2:17" x14ac:dyDescent="0.25"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56"/>
    </row>
    <row r="47" spans="2:17" x14ac:dyDescent="0.25"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56"/>
    </row>
    <row r="48" spans="2:17" x14ac:dyDescent="0.25"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56"/>
    </row>
    <row r="49" spans="2:17" x14ac:dyDescent="0.25"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56"/>
    </row>
    <row r="50" spans="2:17" x14ac:dyDescent="0.25"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56"/>
    </row>
    <row r="51" spans="2:17" x14ac:dyDescent="0.25"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56"/>
    </row>
    <row r="52" spans="2:17" x14ac:dyDescent="0.25"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56"/>
    </row>
    <row r="53" spans="2:17" x14ac:dyDescent="0.25"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56"/>
    </row>
    <row r="54" spans="2:17" x14ac:dyDescent="0.25"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56"/>
    </row>
  </sheetData>
  <sheetProtection formatCells="0" formatColumns="0" formatRows="0" insertHyperlinks="0" selectLockedCells="1"/>
  <mergeCells count="24">
    <mergeCell ref="B1:N1"/>
    <mergeCell ref="B3:K4"/>
    <mergeCell ref="F5:I5"/>
    <mergeCell ref="F17:G17"/>
    <mergeCell ref="O12:P13"/>
    <mergeCell ref="M14:N15"/>
    <mergeCell ref="O14:P15"/>
    <mergeCell ref="I13:I14"/>
    <mergeCell ref="C13:D14"/>
    <mergeCell ref="F13:G14"/>
    <mergeCell ref="M12:N13"/>
    <mergeCell ref="M3:P5"/>
    <mergeCell ref="M6:N7"/>
    <mergeCell ref="O6:P7"/>
    <mergeCell ref="O8:P9"/>
    <mergeCell ref="O10:P11"/>
    <mergeCell ref="C5:D5"/>
    <mergeCell ref="M8:N9"/>
    <mergeCell ref="M10:N11"/>
    <mergeCell ref="C7:D8"/>
    <mergeCell ref="F7:G8"/>
    <mergeCell ref="C10:D11"/>
    <mergeCell ref="F10:G11"/>
    <mergeCell ref="F6:I6"/>
  </mergeCells>
  <dataValidations count="2">
    <dataValidation type="decimal" errorStyle="warning" allowBlank="1" showInputMessage="1" showErrorMessage="1" errorTitle="Desconto inválido!" error="Deve ser entre 5% e 70%." sqref="I13:I14" xr:uid="{8CE31E07-36FE-48FF-9654-6B60504789CD}">
      <formula1>0.05</formula1>
      <formula2>0.7</formula2>
    </dataValidation>
    <dataValidation type="list" showInputMessage="1" showErrorMessage="1" errorTitle="Valor incorreto!" error="Use a seta para selecionar Clássico ou Premium." sqref="F7:G8" xr:uid="{33A437A0-9CDE-428F-A436-359117326936}">
      <formula1>"Clássico, Premium"</formula1>
    </dataValidation>
  </dataValidations>
  <hyperlinks>
    <hyperlink ref="F5" location="'Precificação de produto'!C4" display="Reparo Cilindro De Roda Parcial 1.27/32 (rrcr 5655.6)" xr:uid="{A42E88BB-CCA9-4B21-9B0D-76E35BE5D360}"/>
    <hyperlink ref="F17" r:id="rId1" xr:uid="{83C43730-434A-42AA-915C-1ECB45A861CB}"/>
  </hyperlinks>
  <pageMargins left="0.511811024" right="0.511811024" top="0.78740157499999996" bottom="0.78740157499999996" header="0.31496062000000002" footer="0.31496062000000002"/>
  <pageSetup paperSize="9" orientation="landscape" r:id="rId2"/>
  <drawing r:id="rId3"/>
  <legacyDrawing r:id="rId4"/>
  <controls>
    <mc:AlternateContent xmlns:mc="http://schemas.openxmlformats.org/markup-compatibility/2006">
      <mc:Choice Requires="x14">
        <control shapeId="5128" r:id="rId5" name="CommandButton1">
          <controlPr defaultSize="0" autoLine="0" r:id="rId6">
            <anchor moveWithCells="1">
              <from>
                <xdr:col>8</xdr:col>
                <xdr:colOff>95250</xdr:colOff>
                <xdr:row>6</xdr:row>
                <xdr:rowOff>57150</xdr:rowOff>
              </from>
              <to>
                <xdr:col>9</xdr:col>
                <xdr:colOff>361950</xdr:colOff>
                <xdr:row>7</xdr:row>
                <xdr:rowOff>161925</xdr:rowOff>
              </to>
            </anchor>
          </controlPr>
        </control>
      </mc:Choice>
      <mc:Fallback>
        <control shapeId="5128" r:id="rId5" name="CommandButton1"/>
      </mc:Fallback>
    </mc:AlternateContent>
    <mc:AlternateContent xmlns:mc="http://schemas.openxmlformats.org/markup-compatibility/2006">
      <mc:Choice Requires="x14">
        <control shapeId="5130" r:id="rId7" name="Button 10">
          <controlPr defaultSize="0" print="0" autoFill="0" autoPict="0" macro="[0]!AbrirSimuladorMercadoLivre">
            <anchor moveWithCells="1" sizeWithCells="1">
              <from>
                <xdr:col>9</xdr:col>
                <xdr:colOff>47625</xdr:colOff>
                <xdr:row>3</xdr:row>
                <xdr:rowOff>114300</xdr:rowOff>
              </from>
              <to>
                <xdr:col>10</xdr:col>
                <xdr:colOff>114300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8" name="Button 11">
          <controlPr defaultSize="0" print="0" autoFill="0" autoPict="0" macro="[0]!AtualizarValores">
            <anchor moveWithCells="1" sizeWithCells="1">
              <from>
                <xdr:col>2</xdr:col>
                <xdr:colOff>85725</xdr:colOff>
                <xdr:row>4</xdr:row>
                <xdr:rowOff>66675</xdr:rowOff>
              </from>
              <to>
                <xdr:col>2</xdr:col>
                <xdr:colOff>381000</xdr:colOff>
                <xdr:row>5</xdr:row>
                <xdr:rowOff>28575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Resumo</vt:lpstr>
      <vt:lpstr>Central de Promoções</vt:lpstr>
      <vt:lpstr>Precificação de produto</vt:lpstr>
      <vt:lpstr>Vendas</vt:lpstr>
      <vt:lpstr>Simulador de custos</vt:lpstr>
      <vt:lpstr>TESTE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Regimar</dc:creator>
  <cp:lastModifiedBy>Regimar</cp:lastModifiedBy>
  <cp:lastPrinted>2025-11-12T18:27:52Z</cp:lastPrinted>
  <dcterms:created xsi:type="dcterms:W3CDTF">2024-11-14T11:28:06Z</dcterms:created>
  <dcterms:modified xsi:type="dcterms:W3CDTF">2026-05-27T14:28:59Z</dcterms:modified>
</cp:coreProperties>
</file>